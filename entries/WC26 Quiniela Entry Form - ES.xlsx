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epsherrington/Downloads/"/>
    </mc:Choice>
  </mc:AlternateContent>
  <xr:revisionPtr revIDLastSave="0" documentId="8_{020D5D47-3334-4A4B-B0F9-0F8C6987AC53}" xr6:coauthVersionLast="47" xr6:coauthVersionMax="47" xr10:uidLastSave="{00000000-0000-0000-0000-000000000000}"/>
  <bookViews>
    <workbookView xWindow="0" yWindow="760" windowWidth="29400" windowHeight="17120" activeTab="2" xr2:uid="{00000000-000D-0000-FFFF-FFFF00000000}"/>
  </bookViews>
  <sheets>
    <sheet name="Instructions" sheetId="1" r:id="rId1"/>
    <sheet name="Group Stage Predictions" sheetId="2" r:id="rId2"/>
    <sheet name="Knock-Out Predictions" sheetId="3" r:id="rId3"/>
    <sheet name="For Organiser" sheetId="5" state="hidden" r:id="rId4"/>
  </sheets>
  <externalReferences>
    <externalReference r:id="rId5"/>
    <externalReference r:id="rId6"/>
  </externalReferences>
  <definedNames>
    <definedName name="INST">[1]instrucciones!$B$1:$O$48</definedName>
    <definedName name="PORT">[2]formato!$A$6:$N$68</definedName>
    <definedName name="_xlnm.Print_Area" localSheetId="2">'Knock-Out Predictions'!$B$8:$P$118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" i="2" l="1"/>
  <c r="F51" i="2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2" i="5"/>
  <c r="B2" i="5"/>
  <c r="G102" i="3"/>
  <c r="I73" i="5" s="1"/>
  <c r="E102" i="3"/>
  <c r="G73" i="5" s="1"/>
  <c r="C102" i="3"/>
  <c r="B102" i="3"/>
  <c r="G101" i="3"/>
  <c r="I72" i="5" s="1"/>
  <c r="E101" i="3"/>
  <c r="G72" i="5" s="1"/>
  <c r="C101" i="3"/>
  <c r="B101" i="3"/>
  <c r="G100" i="3"/>
  <c r="I71" i="5" s="1"/>
  <c r="E100" i="3"/>
  <c r="G71" i="5" s="1"/>
  <c r="C100" i="3"/>
  <c r="B100" i="3"/>
  <c r="G99" i="3"/>
  <c r="I70" i="5" s="1"/>
  <c r="E99" i="3"/>
  <c r="G70" i="5" s="1"/>
  <c r="C99" i="3"/>
  <c r="B99" i="3"/>
  <c r="G98" i="3"/>
  <c r="I69" i="5" s="1"/>
  <c r="E98" i="3"/>
  <c r="G69" i="5" s="1"/>
  <c r="C98" i="3"/>
  <c r="B98" i="3"/>
  <c r="G97" i="3"/>
  <c r="I68" i="5" s="1"/>
  <c r="E97" i="3"/>
  <c r="G68" i="5" s="1"/>
  <c r="C97" i="3"/>
  <c r="B97" i="3"/>
  <c r="G94" i="3"/>
  <c r="I67" i="5" s="1"/>
  <c r="E94" i="3"/>
  <c r="G67" i="5" s="1"/>
  <c r="C94" i="3"/>
  <c r="B94" i="3"/>
  <c r="G93" i="3"/>
  <c r="I66" i="5" s="1"/>
  <c r="E93" i="3"/>
  <c r="G66" i="5" s="1"/>
  <c r="C93" i="3"/>
  <c r="B93" i="3"/>
  <c r="G92" i="3"/>
  <c r="I65" i="5" s="1"/>
  <c r="E92" i="3"/>
  <c r="G65" i="5" s="1"/>
  <c r="C92" i="3"/>
  <c r="B92" i="3"/>
  <c r="G91" i="3"/>
  <c r="I64" i="5" s="1"/>
  <c r="E91" i="3"/>
  <c r="G64" i="5" s="1"/>
  <c r="C91" i="3"/>
  <c r="B91" i="3"/>
  <c r="G90" i="3"/>
  <c r="I63" i="5" s="1"/>
  <c r="E90" i="3"/>
  <c r="G63" i="5" s="1"/>
  <c r="C90" i="3"/>
  <c r="B90" i="3"/>
  <c r="G89" i="3"/>
  <c r="I62" i="5" s="1"/>
  <c r="E89" i="3"/>
  <c r="G62" i="5" s="1"/>
  <c r="C89" i="3"/>
  <c r="B89" i="3"/>
  <c r="G86" i="3"/>
  <c r="I61" i="5" s="1"/>
  <c r="E86" i="3"/>
  <c r="G61" i="5" s="1"/>
  <c r="C86" i="3"/>
  <c r="B86" i="3"/>
  <c r="G85" i="3"/>
  <c r="I60" i="5" s="1"/>
  <c r="E85" i="3"/>
  <c r="G60" i="5" s="1"/>
  <c r="C85" i="3"/>
  <c r="B85" i="3"/>
  <c r="G84" i="3"/>
  <c r="I59" i="5" s="1"/>
  <c r="E84" i="3"/>
  <c r="G59" i="5" s="1"/>
  <c r="C84" i="3"/>
  <c r="B84" i="3"/>
  <c r="G83" i="3"/>
  <c r="I58" i="5" s="1"/>
  <c r="E83" i="3"/>
  <c r="G58" i="5" s="1"/>
  <c r="C83" i="3"/>
  <c r="B83" i="3"/>
  <c r="G82" i="3"/>
  <c r="I57" i="5" s="1"/>
  <c r="E82" i="3"/>
  <c r="G57" i="5" s="1"/>
  <c r="C82" i="3"/>
  <c r="B82" i="3"/>
  <c r="G81" i="3"/>
  <c r="I56" i="5" s="1"/>
  <c r="E81" i="3"/>
  <c r="G56" i="5" s="1"/>
  <c r="C81" i="3"/>
  <c r="B81" i="3"/>
  <c r="G78" i="3"/>
  <c r="I55" i="5" s="1"/>
  <c r="E78" i="3"/>
  <c r="G55" i="5" s="1"/>
  <c r="C78" i="3"/>
  <c r="B78" i="3"/>
  <c r="G77" i="3"/>
  <c r="I54" i="5" s="1"/>
  <c r="E77" i="3"/>
  <c r="G54" i="5" s="1"/>
  <c r="C77" i="3"/>
  <c r="B77" i="3"/>
  <c r="G76" i="3"/>
  <c r="I53" i="5" s="1"/>
  <c r="E76" i="3"/>
  <c r="G53" i="5" s="1"/>
  <c r="C76" i="3"/>
  <c r="B76" i="3"/>
  <c r="G75" i="3"/>
  <c r="I52" i="5" s="1"/>
  <c r="E75" i="3"/>
  <c r="G52" i="5" s="1"/>
  <c r="C75" i="3"/>
  <c r="B75" i="3"/>
  <c r="G74" i="3"/>
  <c r="I51" i="5" s="1"/>
  <c r="E74" i="3"/>
  <c r="G51" i="5" s="1"/>
  <c r="C74" i="3"/>
  <c r="B74" i="3"/>
  <c r="G73" i="3"/>
  <c r="I50" i="5" s="1"/>
  <c r="E73" i="3"/>
  <c r="G50" i="5" s="1"/>
  <c r="C73" i="3"/>
  <c r="B73" i="3"/>
  <c r="G70" i="3"/>
  <c r="I49" i="5" s="1"/>
  <c r="E70" i="3"/>
  <c r="G49" i="5" s="1"/>
  <c r="C70" i="3"/>
  <c r="B70" i="3"/>
  <c r="G69" i="3"/>
  <c r="I48" i="5" s="1"/>
  <c r="E69" i="3"/>
  <c r="G48" i="5" s="1"/>
  <c r="C69" i="3"/>
  <c r="B69" i="3"/>
  <c r="G68" i="3"/>
  <c r="I47" i="5" s="1"/>
  <c r="E68" i="3"/>
  <c r="G47" i="5" s="1"/>
  <c r="C68" i="3"/>
  <c r="B68" i="3"/>
  <c r="G67" i="3"/>
  <c r="I46" i="5" s="1"/>
  <c r="E67" i="3"/>
  <c r="G46" i="5" s="1"/>
  <c r="C67" i="3"/>
  <c r="B67" i="3"/>
  <c r="G66" i="3"/>
  <c r="I45" i="5" s="1"/>
  <c r="E66" i="3"/>
  <c r="G45" i="5" s="1"/>
  <c r="C66" i="3"/>
  <c r="B66" i="3"/>
  <c r="G65" i="3"/>
  <c r="I44" i="5" s="1"/>
  <c r="E65" i="3"/>
  <c r="G44" i="5" s="1"/>
  <c r="C65" i="3"/>
  <c r="B65" i="3"/>
  <c r="G62" i="3"/>
  <c r="I43" i="5" s="1"/>
  <c r="E62" i="3"/>
  <c r="G43" i="5" s="1"/>
  <c r="C62" i="3"/>
  <c r="B62" i="3"/>
  <c r="G61" i="3"/>
  <c r="I42" i="5" s="1"/>
  <c r="E61" i="3"/>
  <c r="G42" i="5" s="1"/>
  <c r="C61" i="3"/>
  <c r="B61" i="3"/>
  <c r="G60" i="3"/>
  <c r="I41" i="5" s="1"/>
  <c r="E60" i="3"/>
  <c r="G41" i="5" s="1"/>
  <c r="C60" i="3"/>
  <c r="B60" i="3"/>
  <c r="G59" i="3"/>
  <c r="I40" i="5" s="1"/>
  <c r="E59" i="3"/>
  <c r="G40" i="5" s="1"/>
  <c r="C59" i="3"/>
  <c r="B59" i="3"/>
  <c r="G58" i="3"/>
  <c r="I39" i="5" s="1"/>
  <c r="E58" i="3"/>
  <c r="G39" i="5" s="1"/>
  <c r="C58" i="3"/>
  <c r="B58" i="3"/>
  <c r="G57" i="3"/>
  <c r="I38" i="5" s="1"/>
  <c r="E57" i="3"/>
  <c r="G38" i="5" s="1"/>
  <c r="C57" i="3"/>
  <c r="B57" i="3"/>
  <c r="G54" i="3"/>
  <c r="I37" i="5" s="1"/>
  <c r="E54" i="3"/>
  <c r="G37" i="5" s="1"/>
  <c r="C54" i="3"/>
  <c r="B54" i="3"/>
  <c r="G53" i="3"/>
  <c r="I36" i="5" s="1"/>
  <c r="E53" i="3"/>
  <c r="G36" i="5" s="1"/>
  <c r="C53" i="3"/>
  <c r="B53" i="3"/>
  <c r="G52" i="3"/>
  <c r="I35" i="5" s="1"/>
  <c r="E52" i="3"/>
  <c r="G35" i="5" s="1"/>
  <c r="C52" i="3"/>
  <c r="B52" i="3"/>
  <c r="G51" i="3"/>
  <c r="I34" i="5" s="1"/>
  <c r="E51" i="3"/>
  <c r="G34" i="5" s="1"/>
  <c r="C51" i="3"/>
  <c r="B51" i="3"/>
  <c r="G50" i="3"/>
  <c r="I33" i="5" s="1"/>
  <c r="E50" i="3"/>
  <c r="G33" i="5" s="1"/>
  <c r="C50" i="3"/>
  <c r="B50" i="3"/>
  <c r="G49" i="3"/>
  <c r="I32" i="5" s="1"/>
  <c r="E49" i="3"/>
  <c r="G32" i="5" s="1"/>
  <c r="C49" i="3"/>
  <c r="B49" i="3"/>
  <c r="G46" i="3"/>
  <c r="I31" i="5" s="1"/>
  <c r="E46" i="3"/>
  <c r="G31" i="5" s="1"/>
  <c r="C46" i="3"/>
  <c r="B46" i="3"/>
  <c r="G45" i="3"/>
  <c r="I30" i="5" s="1"/>
  <c r="E45" i="3"/>
  <c r="G30" i="5" s="1"/>
  <c r="C45" i="3"/>
  <c r="B45" i="3"/>
  <c r="G44" i="3"/>
  <c r="I29" i="5" s="1"/>
  <c r="E44" i="3"/>
  <c r="G29" i="5" s="1"/>
  <c r="C44" i="3"/>
  <c r="B44" i="3"/>
  <c r="G43" i="3"/>
  <c r="I28" i="5" s="1"/>
  <c r="E43" i="3"/>
  <c r="G28" i="5" s="1"/>
  <c r="C43" i="3"/>
  <c r="B43" i="3"/>
  <c r="G42" i="3"/>
  <c r="I27" i="5" s="1"/>
  <c r="E42" i="3"/>
  <c r="G27" i="5" s="1"/>
  <c r="C42" i="3"/>
  <c r="B42" i="3"/>
  <c r="G41" i="3"/>
  <c r="I26" i="5" s="1"/>
  <c r="E41" i="3"/>
  <c r="G26" i="5" s="1"/>
  <c r="C41" i="3"/>
  <c r="B41" i="3"/>
  <c r="G38" i="3"/>
  <c r="I25" i="5" s="1"/>
  <c r="E38" i="3"/>
  <c r="G25" i="5" s="1"/>
  <c r="C38" i="3"/>
  <c r="B38" i="3"/>
  <c r="G37" i="3"/>
  <c r="I24" i="5" s="1"/>
  <c r="E37" i="3"/>
  <c r="G24" i="5" s="1"/>
  <c r="C37" i="3"/>
  <c r="B37" i="3"/>
  <c r="G36" i="3"/>
  <c r="I23" i="5" s="1"/>
  <c r="E36" i="3"/>
  <c r="G23" i="5" s="1"/>
  <c r="C36" i="3"/>
  <c r="B36" i="3"/>
  <c r="G35" i="3"/>
  <c r="I22" i="5" s="1"/>
  <c r="E35" i="3"/>
  <c r="G22" i="5" s="1"/>
  <c r="C35" i="3"/>
  <c r="B35" i="3"/>
  <c r="G34" i="3"/>
  <c r="I21" i="5" s="1"/>
  <c r="E34" i="3"/>
  <c r="G21" i="5" s="1"/>
  <c r="C34" i="3"/>
  <c r="B34" i="3"/>
  <c r="G33" i="3"/>
  <c r="I20" i="5" s="1"/>
  <c r="E33" i="3"/>
  <c r="G20" i="5" s="1"/>
  <c r="C33" i="3"/>
  <c r="B33" i="3"/>
  <c r="G30" i="3"/>
  <c r="I19" i="5" s="1"/>
  <c r="E30" i="3"/>
  <c r="G19" i="5" s="1"/>
  <c r="C30" i="3"/>
  <c r="B30" i="3"/>
  <c r="G29" i="3"/>
  <c r="I18" i="5" s="1"/>
  <c r="E29" i="3"/>
  <c r="G18" i="5" s="1"/>
  <c r="C29" i="3"/>
  <c r="B29" i="3"/>
  <c r="G28" i="3"/>
  <c r="I17" i="5" s="1"/>
  <c r="E28" i="3"/>
  <c r="G17" i="5" s="1"/>
  <c r="C28" i="3"/>
  <c r="B28" i="3"/>
  <c r="G27" i="3"/>
  <c r="I16" i="5" s="1"/>
  <c r="E27" i="3"/>
  <c r="G16" i="5" s="1"/>
  <c r="C27" i="3"/>
  <c r="B27" i="3"/>
  <c r="G26" i="3"/>
  <c r="I15" i="5" s="1"/>
  <c r="E26" i="3"/>
  <c r="G15" i="5" s="1"/>
  <c r="C26" i="3"/>
  <c r="B26" i="3"/>
  <c r="G25" i="3"/>
  <c r="I14" i="5" s="1"/>
  <c r="E25" i="3"/>
  <c r="G14" i="5" s="1"/>
  <c r="C25" i="3"/>
  <c r="B25" i="3"/>
  <c r="G22" i="3"/>
  <c r="I13" i="5" s="1"/>
  <c r="E22" i="3"/>
  <c r="G13" i="5" s="1"/>
  <c r="C22" i="3"/>
  <c r="B22" i="3"/>
  <c r="G21" i="3"/>
  <c r="I12" i="5" s="1"/>
  <c r="E21" i="3"/>
  <c r="G12" i="5" s="1"/>
  <c r="C21" i="3"/>
  <c r="B21" i="3"/>
  <c r="G20" i="3"/>
  <c r="I11" i="5" s="1"/>
  <c r="E20" i="3"/>
  <c r="G11" i="5" s="1"/>
  <c r="C20" i="3"/>
  <c r="B20" i="3"/>
  <c r="G19" i="3"/>
  <c r="I10" i="5" s="1"/>
  <c r="E19" i="3"/>
  <c r="G10" i="5" s="1"/>
  <c r="C19" i="3"/>
  <c r="B19" i="3"/>
  <c r="G18" i="3"/>
  <c r="I9" i="5" s="1"/>
  <c r="E18" i="3"/>
  <c r="G9" i="5" s="1"/>
  <c r="C18" i="3"/>
  <c r="B18" i="3"/>
  <c r="G17" i="3"/>
  <c r="I8" i="5" s="1"/>
  <c r="E17" i="3"/>
  <c r="G8" i="5" s="1"/>
  <c r="C17" i="3"/>
  <c r="B17" i="3"/>
  <c r="G14" i="3"/>
  <c r="I7" i="5" s="1"/>
  <c r="E14" i="3"/>
  <c r="G7" i="5" s="1"/>
  <c r="C14" i="3"/>
  <c r="B14" i="3"/>
  <c r="G13" i="3"/>
  <c r="I6" i="5" s="1"/>
  <c r="E13" i="3"/>
  <c r="G6" i="5" s="1"/>
  <c r="C13" i="3"/>
  <c r="B13" i="3"/>
  <c r="G12" i="3"/>
  <c r="I5" i="5" s="1"/>
  <c r="E12" i="3"/>
  <c r="G5" i="5" s="1"/>
  <c r="C12" i="3"/>
  <c r="B12" i="3"/>
  <c r="G11" i="3"/>
  <c r="I4" i="5" s="1"/>
  <c r="E11" i="3"/>
  <c r="G4" i="5" s="1"/>
  <c r="C11" i="3"/>
  <c r="B11" i="3"/>
  <c r="G10" i="3"/>
  <c r="I3" i="5" s="1"/>
  <c r="E10" i="3"/>
  <c r="G3" i="5" s="1"/>
  <c r="C10" i="3"/>
  <c r="B10" i="3"/>
  <c r="G9" i="3"/>
  <c r="I2" i="5" s="1"/>
  <c r="E9" i="3"/>
  <c r="G2" i="5" s="1"/>
  <c r="C9" i="3"/>
  <c r="B9" i="3"/>
  <c r="BB619" i="2"/>
  <c r="BA619" i="2"/>
  <c r="AZ619" i="2"/>
  <c r="AY619" i="2"/>
  <c r="AX619" i="2"/>
  <c r="AW619" i="2"/>
  <c r="AV619" i="2"/>
  <c r="AU619" i="2"/>
  <c r="BB618" i="2"/>
  <c r="BA618" i="2"/>
  <c r="AZ618" i="2"/>
  <c r="AY618" i="2"/>
  <c r="AX618" i="2"/>
  <c r="AW618" i="2"/>
  <c r="AV618" i="2"/>
  <c r="AU618" i="2"/>
  <c r="BB617" i="2"/>
  <c r="BA617" i="2"/>
  <c r="AZ617" i="2"/>
  <c r="AY617" i="2"/>
  <c r="AX617" i="2"/>
  <c r="AW617" i="2"/>
  <c r="AV617" i="2"/>
  <c r="AU617" i="2"/>
  <c r="BB616" i="2"/>
  <c r="BA616" i="2"/>
  <c r="AZ616" i="2"/>
  <c r="AY616" i="2"/>
  <c r="AX616" i="2"/>
  <c r="AW616" i="2"/>
  <c r="AV616" i="2"/>
  <c r="AU616" i="2"/>
  <c r="BB615" i="2"/>
  <c r="BA615" i="2"/>
  <c r="AZ615" i="2"/>
  <c r="AY615" i="2"/>
  <c r="AX615" i="2"/>
  <c r="AW615" i="2"/>
  <c r="AV615" i="2"/>
  <c r="AU615" i="2"/>
  <c r="BB614" i="2"/>
  <c r="BA614" i="2"/>
  <c r="AZ614" i="2"/>
  <c r="AY614" i="2"/>
  <c r="AX614" i="2"/>
  <c r="AW614" i="2"/>
  <c r="AV614" i="2"/>
  <c r="AU614" i="2"/>
  <c r="BB613" i="2"/>
  <c r="BA613" i="2"/>
  <c r="AZ613" i="2"/>
  <c r="AY613" i="2"/>
  <c r="AX613" i="2"/>
  <c r="AW613" i="2"/>
  <c r="AV613" i="2"/>
  <c r="AU613" i="2"/>
  <c r="BB612" i="2"/>
  <c r="BA612" i="2"/>
  <c r="AZ612" i="2"/>
  <c r="AY612" i="2"/>
  <c r="AX612" i="2"/>
  <c r="AW612" i="2"/>
  <c r="AV612" i="2"/>
  <c r="AU612" i="2"/>
  <c r="BB611" i="2"/>
  <c r="BA611" i="2"/>
  <c r="AZ611" i="2"/>
  <c r="AY611" i="2"/>
  <c r="AX611" i="2"/>
  <c r="AW611" i="2"/>
  <c r="AV611" i="2"/>
  <c r="AU611" i="2"/>
  <c r="BB610" i="2"/>
  <c r="BA610" i="2"/>
  <c r="AZ610" i="2"/>
  <c r="AY610" i="2"/>
  <c r="AX610" i="2"/>
  <c r="AW610" i="2"/>
  <c r="AV610" i="2"/>
  <c r="AU610" i="2"/>
  <c r="BB609" i="2"/>
  <c r="BA609" i="2"/>
  <c r="AZ609" i="2"/>
  <c r="AY609" i="2"/>
  <c r="AX609" i="2"/>
  <c r="AW609" i="2"/>
  <c r="AV609" i="2"/>
  <c r="AU609" i="2"/>
  <c r="BB608" i="2"/>
  <c r="BA608" i="2"/>
  <c r="AZ608" i="2"/>
  <c r="AY608" i="2"/>
  <c r="AX608" i="2"/>
  <c r="AW608" i="2"/>
  <c r="AV608" i="2"/>
  <c r="AU608" i="2"/>
  <c r="BB607" i="2"/>
  <c r="BA607" i="2"/>
  <c r="AZ607" i="2"/>
  <c r="AY607" i="2"/>
  <c r="AX607" i="2"/>
  <c r="AW607" i="2"/>
  <c r="AV607" i="2"/>
  <c r="AU607" i="2"/>
  <c r="BB606" i="2"/>
  <c r="BA606" i="2"/>
  <c r="AZ606" i="2"/>
  <c r="AY606" i="2"/>
  <c r="AX606" i="2"/>
  <c r="AW606" i="2"/>
  <c r="AV606" i="2"/>
  <c r="AU606" i="2"/>
  <c r="BB605" i="2"/>
  <c r="BA605" i="2"/>
  <c r="AZ605" i="2"/>
  <c r="AY605" i="2"/>
  <c r="AX605" i="2"/>
  <c r="AW605" i="2"/>
  <c r="AV605" i="2"/>
  <c r="AU605" i="2"/>
  <c r="BB604" i="2"/>
  <c r="BA604" i="2"/>
  <c r="AZ604" i="2"/>
  <c r="AY604" i="2"/>
  <c r="AX604" i="2"/>
  <c r="AW604" i="2"/>
  <c r="AV604" i="2"/>
  <c r="AU604" i="2"/>
  <c r="BB603" i="2"/>
  <c r="BA603" i="2"/>
  <c r="AZ603" i="2"/>
  <c r="AY603" i="2"/>
  <c r="AX603" i="2"/>
  <c r="AW603" i="2"/>
  <c r="AV603" i="2"/>
  <c r="AU603" i="2"/>
  <c r="BB602" i="2"/>
  <c r="BA602" i="2"/>
  <c r="AZ602" i="2"/>
  <c r="AY602" i="2"/>
  <c r="AX602" i="2"/>
  <c r="AW602" i="2"/>
  <c r="AV602" i="2"/>
  <c r="AU602" i="2"/>
  <c r="BB601" i="2"/>
  <c r="BA601" i="2"/>
  <c r="AZ601" i="2"/>
  <c r="AY601" i="2"/>
  <c r="AX601" i="2"/>
  <c r="AW601" i="2"/>
  <c r="AV601" i="2"/>
  <c r="AU601" i="2"/>
  <c r="BB600" i="2"/>
  <c r="BA600" i="2"/>
  <c r="AZ600" i="2"/>
  <c r="AY600" i="2"/>
  <c r="AX600" i="2"/>
  <c r="AW600" i="2"/>
  <c r="AV600" i="2"/>
  <c r="AU600" i="2"/>
  <c r="BB599" i="2"/>
  <c r="BA599" i="2"/>
  <c r="AZ599" i="2"/>
  <c r="AY599" i="2"/>
  <c r="AX599" i="2"/>
  <c r="AW599" i="2"/>
  <c r="AV599" i="2"/>
  <c r="AU599" i="2"/>
  <c r="BB598" i="2"/>
  <c r="BA598" i="2"/>
  <c r="AZ598" i="2"/>
  <c r="AY598" i="2"/>
  <c r="AX598" i="2"/>
  <c r="AW598" i="2"/>
  <c r="AV598" i="2"/>
  <c r="AU598" i="2"/>
  <c r="BB597" i="2"/>
  <c r="BA597" i="2"/>
  <c r="AZ597" i="2"/>
  <c r="AY597" i="2"/>
  <c r="AX597" i="2"/>
  <c r="AW597" i="2"/>
  <c r="AV597" i="2"/>
  <c r="AU597" i="2"/>
  <c r="BB596" i="2"/>
  <c r="BA596" i="2"/>
  <c r="AZ596" i="2"/>
  <c r="AY596" i="2"/>
  <c r="AX596" i="2"/>
  <c r="AW596" i="2"/>
  <c r="AV596" i="2"/>
  <c r="AU596" i="2"/>
  <c r="BB595" i="2"/>
  <c r="BA595" i="2"/>
  <c r="AZ595" i="2"/>
  <c r="AY595" i="2"/>
  <c r="AX595" i="2"/>
  <c r="AW595" i="2"/>
  <c r="AV595" i="2"/>
  <c r="AU595" i="2"/>
  <c r="BB594" i="2"/>
  <c r="BA594" i="2"/>
  <c r="AZ594" i="2"/>
  <c r="AY594" i="2"/>
  <c r="AX594" i="2"/>
  <c r="AW594" i="2"/>
  <c r="AV594" i="2"/>
  <c r="AU594" i="2"/>
  <c r="BB593" i="2"/>
  <c r="BA593" i="2"/>
  <c r="AZ593" i="2"/>
  <c r="AY593" i="2"/>
  <c r="AX593" i="2"/>
  <c r="AW593" i="2"/>
  <c r="AV593" i="2"/>
  <c r="AU593" i="2"/>
  <c r="BB592" i="2"/>
  <c r="BA592" i="2"/>
  <c r="AZ592" i="2"/>
  <c r="AY592" i="2"/>
  <c r="AX592" i="2"/>
  <c r="AW592" i="2"/>
  <c r="AV592" i="2"/>
  <c r="AU592" i="2"/>
  <c r="BB591" i="2"/>
  <c r="BA591" i="2"/>
  <c r="AZ591" i="2"/>
  <c r="AY591" i="2"/>
  <c r="AX591" i="2"/>
  <c r="AW591" i="2"/>
  <c r="AV591" i="2"/>
  <c r="AU591" i="2"/>
  <c r="BB590" i="2"/>
  <c r="BA590" i="2"/>
  <c r="AZ590" i="2"/>
  <c r="AY590" i="2"/>
  <c r="AX590" i="2"/>
  <c r="AW590" i="2"/>
  <c r="AV590" i="2"/>
  <c r="AU590" i="2"/>
  <c r="BB589" i="2"/>
  <c r="BA589" i="2"/>
  <c r="AZ589" i="2"/>
  <c r="AY589" i="2"/>
  <c r="AX589" i="2"/>
  <c r="AW589" i="2"/>
  <c r="AV589" i="2"/>
  <c r="AU589" i="2"/>
  <c r="BB588" i="2"/>
  <c r="BA588" i="2"/>
  <c r="AZ588" i="2"/>
  <c r="AY588" i="2"/>
  <c r="AX588" i="2"/>
  <c r="AW588" i="2"/>
  <c r="AV588" i="2"/>
  <c r="AU588" i="2"/>
  <c r="BB587" i="2"/>
  <c r="BA587" i="2"/>
  <c r="AZ587" i="2"/>
  <c r="AY587" i="2"/>
  <c r="AX587" i="2"/>
  <c r="AW587" i="2"/>
  <c r="AV587" i="2"/>
  <c r="AU587" i="2"/>
  <c r="BB586" i="2"/>
  <c r="BA586" i="2"/>
  <c r="AZ586" i="2"/>
  <c r="AY586" i="2"/>
  <c r="AX586" i="2"/>
  <c r="AW586" i="2"/>
  <c r="AV586" i="2"/>
  <c r="AU586" i="2"/>
  <c r="BB585" i="2"/>
  <c r="BA585" i="2"/>
  <c r="AZ585" i="2"/>
  <c r="AY585" i="2"/>
  <c r="AX585" i="2"/>
  <c r="AW585" i="2"/>
  <c r="AV585" i="2"/>
  <c r="AU585" i="2"/>
  <c r="BB584" i="2"/>
  <c r="BA584" i="2"/>
  <c r="AZ584" i="2"/>
  <c r="AY584" i="2"/>
  <c r="AX584" i="2"/>
  <c r="AW584" i="2"/>
  <c r="AV584" i="2"/>
  <c r="AU584" i="2"/>
  <c r="BB583" i="2"/>
  <c r="BA583" i="2"/>
  <c r="AZ583" i="2"/>
  <c r="AY583" i="2"/>
  <c r="AX583" i="2"/>
  <c r="AW583" i="2"/>
  <c r="AV583" i="2"/>
  <c r="AU583" i="2"/>
  <c r="BB582" i="2"/>
  <c r="BA582" i="2"/>
  <c r="AZ582" i="2"/>
  <c r="AY582" i="2"/>
  <c r="AX582" i="2"/>
  <c r="AW582" i="2"/>
  <c r="AV582" i="2"/>
  <c r="AU582" i="2"/>
  <c r="BB581" i="2"/>
  <c r="BA581" i="2"/>
  <c r="AZ581" i="2"/>
  <c r="AY581" i="2"/>
  <c r="AX581" i="2"/>
  <c r="AW581" i="2"/>
  <c r="AV581" i="2"/>
  <c r="AU581" i="2"/>
  <c r="BB580" i="2"/>
  <c r="BA580" i="2"/>
  <c r="AZ580" i="2"/>
  <c r="AY580" i="2"/>
  <c r="AX580" i="2"/>
  <c r="AW580" i="2"/>
  <c r="AV580" i="2"/>
  <c r="AU580" i="2"/>
  <c r="BB579" i="2"/>
  <c r="BA579" i="2"/>
  <c r="AZ579" i="2"/>
  <c r="AY579" i="2"/>
  <c r="AX579" i="2"/>
  <c r="AW579" i="2"/>
  <c r="AV579" i="2"/>
  <c r="AU579" i="2"/>
  <c r="BB578" i="2"/>
  <c r="BA578" i="2"/>
  <c r="AZ578" i="2"/>
  <c r="AY578" i="2"/>
  <c r="AX578" i="2"/>
  <c r="AW578" i="2"/>
  <c r="AV578" i="2"/>
  <c r="AU578" i="2"/>
  <c r="BB577" i="2"/>
  <c r="BA577" i="2"/>
  <c r="AZ577" i="2"/>
  <c r="AY577" i="2"/>
  <c r="AX577" i="2"/>
  <c r="AW577" i="2"/>
  <c r="AV577" i="2"/>
  <c r="AU577" i="2"/>
  <c r="BB576" i="2"/>
  <c r="BA576" i="2"/>
  <c r="AZ576" i="2"/>
  <c r="AY576" i="2"/>
  <c r="AX576" i="2"/>
  <c r="AW576" i="2"/>
  <c r="AV576" i="2"/>
  <c r="AU576" i="2"/>
  <c r="BB575" i="2"/>
  <c r="BA575" i="2"/>
  <c r="AZ575" i="2"/>
  <c r="AY575" i="2"/>
  <c r="AX575" i="2"/>
  <c r="AW575" i="2"/>
  <c r="AV575" i="2"/>
  <c r="AU575" i="2"/>
  <c r="BB574" i="2"/>
  <c r="BA574" i="2"/>
  <c r="AZ574" i="2"/>
  <c r="AY574" i="2"/>
  <c r="AX574" i="2"/>
  <c r="AW574" i="2"/>
  <c r="AV574" i="2"/>
  <c r="AU574" i="2"/>
  <c r="BB573" i="2"/>
  <c r="BA573" i="2"/>
  <c r="AZ573" i="2"/>
  <c r="AY573" i="2"/>
  <c r="AX573" i="2"/>
  <c r="AW573" i="2"/>
  <c r="AV573" i="2"/>
  <c r="AU573" i="2"/>
  <c r="BB572" i="2"/>
  <c r="BA572" i="2"/>
  <c r="AZ572" i="2"/>
  <c r="AY572" i="2"/>
  <c r="AX572" i="2"/>
  <c r="AW572" i="2"/>
  <c r="AV572" i="2"/>
  <c r="AU572" i="2"/>
  <c r="BB571" i="2"/>
  <c r="BA571" i="2"/>
  <c r="AZ571" i="2"/>
  <c r="AY571" i="2"/>
  <c r="AX571" i="2"/>
  <c r="AW571" i="2"/>
  <c r="AV571" i="2"/>
  <c r="AU571" i="2"/>
  <c r="BB570" i="2"/>
  <c r="BA570" i="2"/>
  <c r="AZ570" i="2"/>
  <c r="AY570" i="2"/>
  <c r="AX570" i="2"/>
  <c r="AW570" i="2"/>
  <c r="AV570" i="2"/>
  <c r="AU570" i="2"/>
  <c r="BB569" i="2"/>
  <c r="BA569" i="2"/>
  <c r="AZ569" i="2"/>
  <c r="AY569" i="2"/>
  <c r="AX569" i="2"/>
  <c r="AW569" i="2"/>
  <c r="AV569" i="2"/>
  <c r="AU569" i="2"/>
  <c r="BB568" i="2"/>
  <c r="BA568" i="2"/>
  <c r="AZ568" i="2"/>
  <c r="AY568" i="2"/>
  <c r="AX568" i="2"/>
  <c r="AW568" i="2"/>
  <c r="AV568" i="2"/>
  <c r="AU568" i="2"/>
  <c r="BB567" i="2"/>
  <c r="BA567" i="2"/>
  <c r="AZ567" i="2"/>
  <c r="AY567" i="2"/>
  <c r="AX567" i="2"/>
  <c r="AW567" i="2"/>
  <c r="AV567" i="2"/>
  <c r="AU567" i="2"/>
  <c r="BB566" i="2"/>
  <c r="BA566" i="2"/>
  <c r="AZ566" i="2"/>
  <c r="AY566" i="2"/>
  <c r="AX566" i="2"/>
  <c r="AW566" i="2"/>
  <c r="AV566" i="2"/>
  <c r="AU566" i="2"/>
  <c r="BB565" i="2"/>
  <c r="BA565" i="2"/>
  <c r="AZ565" i="2"/>
  <c r="AY565" i="2"/>
  <c r="AX565" i="2"/>
  <c r="AW565" i="2"/>
  <c r="AV565" i="2"/>
  <c r="AU565" i="2"/>
  <c r="BB564" i="2"/>
  <c r="BA564" i="2"/>
  <c r="AZ564" i="2"/>
  <c r="AY564" i="2"/>
  <c r="AX564" i="2"/>
  <c r="AW564" i="2"/>
  <c r="AV564" i="2"/>
  <c r="AU564" i="2"/>
  <c r="BB563" i="2"/>
  <c r="BA563" i="2"/>
  <c r="AZ563" i="2"/>
  <c r="AY563" i="2"/>
  <c r="AX563" i="2"/>
  <c r="AW563" i="2"/>
  <c r="AV563" i="2"/>
  <c r="AU563" i="2"/>
  <c r="BB562" i="2"/>
  <c r="BA562" i="2"/>
  <c r="AZ562" i="2"/>
  <c r="AY562" i="2"/>
  <c r="AX562" i="2"/>
  <c r="AW562" i="2"/>
  <c r="AV562" i="2"/>
  <c r="AU562" i="2"/>
  <c r="BB561" i="2"/>
  <c r="BA561" i="2"/>
  <c r="AZ561" i="2"/>
  <c r="AY561" i="2"/>
  <c r="AX561" i="2"/>
  <c r="AW561" i="2"/>
  <c r="AV561" i="2"/>
  <c r="AU561" i="2"/>
  <c r="BB560" i="2"/>
  <c r="BA560" i="2"/>
  <c r="AZ560" i="2"/>
  <c r="AY560" i="2"/>
  <c r="AX560" i="2"/>
  <c r="AW560" i="2"/>
  <c r="AV560" i="2"/>
  <c r="AU560" i="2"/>
  <c r="BB559" i="2"/>
  <c r="BA559" i="2"/>
  <c r="AZ559" i="2"/>
  <c r="AY559" i="2"/>
  <c r="AX559" i="2"/>
  <c r="AW559" i="2"/>
  <c r="AV559" i="2"/>
  <c r="AU559" i="2"/>
  <c r="BB558" i="2"/>
  <c r="BA558" i="2"/>
  <c r="AZ558" i="2"/>
  <c r="AY558" i="2"/>
  <c r="AX558" i="2"/>
  <c r="AW558" i="2"/>
  <c r="AV558" i="2"/>
  <c r="AU558" i="2"/>
  <c r="BB557" i="2"/>
  <c r="BA557" i="2"/>
  <c r="AZ557" i="2"/>
  <c r="AY557" i="2"/>
  <c r="AX557" i="2"/>
  <c r="AW557" i="2"/>
  <c r="AV557" i="2"/>
  <c r="AU557" i="2"/>
  <c r="BB556" i="2"/>
  <c r="BA556" i="2"/>
  <c r="AZ556" i="2"/>
  <c r="AY556" i="2"/>
  <c r="AX556" i="2"/>
  <c r="AW556" i="2"/>
  <c r="AV556" i="2"/>
  <c r="AU556" i="2"/>
  <c r="BB555" i="2"/>
  <c r="BA555" i="2"/>
  <c r="AZ555" i="2"/>
  <c r="AY555" i="2"/>
  <c r="AX555" i="2"/>
  <c r="AW555" i="2"/>
  <c r="AV555" i="2"/>
  <c r="AU555" i="2"/>
  <c r="BB554" i="2"/>
  <c r="BA554" i="2"/>
  <c r="AZ554" i="2"/>
  <c r="AY554" i="2"/>
  <c r="AX554" i="2"/>
  <c r="AW554" i="2"/>
  <c r="AV554" i="2"/>
  <c r="AU554" i="2"/>
  <c r="BB553" i="2"/>
  <c r="BA553" i="2"/>
  <c r="AZ553" i="2"/>
  <c r="AY553" i="2"/>
  <c r="AX553" i="2"/>
  <c r="AW553" i="2"/>
  <c r="AV553" i="2"/>
  <c r="AU553" i="2"/>
  <c r="BB552" i="2"/>
  <c r="BA552" i="2"/>
  <c r="AZ552" i="2"/>
  <c r="AY552" i="2"/>
  <c r="AX552" i="2"/>
  <c r="AW552" i="2"/>
  <c r="AV552" i="2"/>
  <c r="AU552" i="2"/>
  <c r="BB551" i="2"/>
  <c r="BA551" i="2"/>
  <c r="AZ551" i="2"/>
  <c r="AY551" i="2"/>
  <c r="AX551" i="2"/>
  <c r="AW551" i="2"/>
  <c r="AV551" i="2"/>
  <c r="AU551" i="2"/>
  <c r="BB550" i="2"/>
  <c r="BA550" i="2"/>
  <c r="AZ550" i="2"/>
  <c r="AY550" i="2"/>
  <c r="AX550" i="2"/>
  <c r="AW550" i="2"/>
  <c r="AV550" i="2"/>
  <c r="AU550" i="2"/>
  <c r="BB549" i="2"/>
  <c r="BA549" i="2"/>
  <c r="AZ549" i="2"/>
  <c r="AY549" i="2"/>
  <c r="AX549" i="2"/>
  <c r="AW549" i="2"/>
  <c r="AV549" i="2"/>
  <c r="AU549" i="2"/>
  <c r="BB548" i="2"/>
  <c r="BA548" i="2"/>
  <c r="AZ548" i="2"/>
  <c r="AY548" i="2"/>
  <c r="AX548" i="2"/>
  <c r="AW548" i="2"/>
  <c r="AV548" i="2"/>
  <c r="AU548" i="2"/>
  <c r="BB547" i="2"/>
  <c r="BA547" i="2"/>
  <c r="AZ547" i="2"/>
  <c r="AY547" i="2"/>
  <c r="AX547" i="2"/>
  <c r="AW547" i="2"/>
  <c r="AV547" i="2"/>
  <c r="AU547" i="2"/>
  <c r="BB546" i="2"/>
  <c r="BA546" i="2"/>
  <c r="AZ546" i="2"/>
  <c r="AY546" i="2"/>
  <c r="AX546" i="2"/>
  <c r="AW546" i="2"/>
  <c r="AV546" i="2"/>
  <c r="AU546" i="2"/>
  <c r="BB545" i="2"/>
  <c r="BA545" i="2"/>
  <c r="AZ545" i="2"/>
  <c r="AY545" i="2"/>
  <c r="AX545" i="2"/>
  <c r="AW545" i="2"/>
  <c r="AV545" i="2"/>
  <c r="AU545" i="2"/>
  <c r="BB544" i="2"/>
  <c r="BA544" i="2"/>
  <c r="AZ544" i="2"/>
  <c r="AY544" i="2"/>
  <c r="AX544" i="2"/>
  <c r="AW544" i="2"/>
  <c r="AV544" i="2"/>
  <c r="AU544" i="2"/>
  <c r="BB543" i="2"/>
  <c r="BA543" i="2"/>
  <c r="AZ543" i="2"/>
  <c r="AY543" i="2"/>
  <c r="AX543" i="2"/>
  <c r="AW543" i="2"/>
  <c r="AV543" i="2"/>
  <c r="AU543" i="2"/>
  <c r="BB542" i="2"/>
  <c r="BA542" i="2"/>
  <c r="AZ542" i="2"/>
  <c r="AY542" i="2"/>
  <c r="AX542" i="2"/>
  <c r="AW542" i="2"/>
  <c r="AV542" i="2"/>
  <c r="AU542" i="2"/>
  <c r="BB541" i="2"/>
  <c r="BA541" i="2"/>
  <c r="AZ541" i="2"/>
  <c r="AY541" i="2"/>
  <c r="AX541" i="2"/>
  <c r="AW541" i="2"/>
  <c r="AV541" i="2"/>
  <c r="AU541" i="2"/>
  <c r="BB540" i="2"/>
  <c r="BA540" i="2"/>
  <c r="AZ540" i="2"/>
  <c r="AY540" i="2"/>
  <c r="AX540" i="2"/>
  <c r="AW540" i="2"/>
  <c r="AV540" i="2"/>
  <c r="AU540" i="2"/>
  <c r="BB539" i="2"/>
  <c r="BA539" i="2"/>
  <c r="AZ539" i="2"/>
  <c r="AY539" i="2"/>
  <c r="AX539" i="2"/>
  <c r="AW539" i="2"/>
  <c r="AV539" i="2"/>
  <c r="AU539" i="2"/>
  <c r="BB538" i="2"/>
  <c r="BA538" i="2"/>
  <c r="AZ538" i="2"/>
  <c r="AY538" i="2"/>
  <c r="AX538" i="2"/>
  <c r="AW538" i="2"/>
  <c r="AV538" i="2"/>
  <c r="AU538" i="2"/>
  <c r="BB537" i="2"/>
  <c r="BA537" i="2"/>
  <c r="AZ537" i="2"/>
  <c r="AY537" i="2"/>
  <c r="AX537" i="2"/>
  <c r="AW537" i="2"/>
  <c r="AV537" i="2"/>
  <c r="AU537" i="2"/>
  <c r="BB536" i="2"/>
  <c r="BA536" i="2"/>
  <c r="AZ536" i="2"/>
  <c r="AY536" i="2"/>
  <c r="AX536" i="2"/>
  <c r="AW536" i="2"/>
  <c r="AV536" i="2"/>
  <c r="AU536" i="2"/>
  <c r="BB535" i="2"/>
  <c r="BA535" i="2"/>
  <c r="AZ535" i="2"/>
  <c r="AY535" i="2"/>
  <c r="AX535" i="2"/>
  <c r="AW535" i="2"/>
  <c r="AV535" i="2"/>
  <c r="AU535" i="2"/>
  <c r="BB534" i="2"/>
  <c r="BA534" i="2"/>
  <c r="AZ534" i="2"/>
  <c r="AY534" i="2"/>
  <c r="AX534" i="2"/>
  <c r="AW534" i="2"/>
  <c r="AV534" i="2"/>
  <c r="AU534" i="2"/>
  <c r="BB533" i="2"/>
  <c r="BA533" i="2"/>
  <c r="AZ533" i="2"/>
  <c r="AY533" i="2"/>
  <c r="AX533" i="2"/>
  <c r="AW533" i="2"/>
  <c r="AV533" i="2"/>
  <c r="AU533" i="2"/>
  <c r="BB532" i="2"/>
  <c r="BA532" i="2"/>
  <c r="AZ532" i="2"/>
  <c r="AY532" i="2"/>
  <c r="AX532" i="2"/>
  <c r="AW532" i="2"/>
  <c r="AV532" i="2"/>
  <c r="AU532" i="2"/>
  <c r="BB531" i="2"/>
  <c r="BA531" i="2"/>
  <c r="AZ531" i="2"/>
  <c r="AY531" i="2"/>
  <c r="AX531" i="2"/>
  <c r="AW531" i="2"/>
  <c r="AV531" i="2"/>
  <c r="AU531" i="2"/>
  <c r="BB530" i="2"/>
  <c r="BA530" i="2"/>
  <c r="AZ530" i="2"/>
  <c r="AY530" i="2"/>
  <c r="AX530" i="2"/>
  <c r="AW530" i="2"/>
  <c r="AV530" i="2"/>
  <c r="AU530" i="2"/>
  <c r="BB529" i="2"/>
  <c r="BA529" i="2"/>
  <c r="AZ529" i="2"/>
  <c r="AY529" i="2"/>
  <c r="AX529" i="2"/>
  <c r="AW529" i="2"/>
  <c r="AV529" i="2"/>
  <c r="AU529" i="2"/>
  <c r="BB528" i="2"/>
  <c r="BA528" i="2"/>
  <c r="AZ528" i="2"/>
  <c r="AY528" i="2"/>
  <c r="AX528" i="2"/>
  <c r="AW528" i="2"/>
  <c r="AV528" i="2"/>
  <c r="AU528" i="2"/>
  <c r="BB527" i="2"/>
  <c r="BA527" i="2"/>
  <c r="AZ527" i="2"/>
  <c r="AY527" i="2"/>
  <c r="AX527" i="2"/>
  <c r="AW527" i="2"/>
  <c r="AV527" i="2"/>
  <c r="AU527" i="2"/>
  <c r="BB526" i="2"/>
  <c r="BA526" i="2"/>
  <c r="AZ526" i="2"/>
  <c r="AY526" i="2"/>
  <c r="AX526" i="2"/>
  <c r="AW526" i="2"/>
  <c r="AV526" i="2"/>
  <c r="AU526" i="2"/>
  <c r="BB525" i="2"/>
  <c r="BA525" i="2"/>
  <c r="AZ525" i="2"/>
  <c r="AY525" i="2"/>
  <c r="AX525" i="2"/>
  <c r="AW525" i="2"/>
  <c r="AV525" i="2"/>
  <c r="AU525" i="2"/>
  <c r="BB524" i="2"/>
  <c r="BA524" i="2"/>
  <c r="AZ524" i="2"/>
  <c r="AY524" i="2"/>
  <c r="AX524" i="2"/>
  <c r="AW524" i="2"/>
  <c r="AV524" i="2"/>
  <c r="AU524" i="2"/>
  <c r="BB523" i="2"/>
  <c r="BA523" i="2"/>
  <c r="AZ523" i="2"/>
  <c r="AY523" i="2"/>
  <c r="AX523" i="2"/>
  <c r="AW523" i="2"/>
  <c r="AV523" i="2"/>
  <c r="AU523" i="2"/>
  <c r="BB522" i="2"/>
  <c r="BA522" i="2"/>
  <c r="AZ522" i="2"/>
  <c r="AY522" i="2"/>
  <c r="AX522" i="2"/>
  <c r="AW522" i="2"/>
  <c r="AV522" i="2"/>
  <c r="AU522" i="2"/>
  <c r="BB521" i="2"/>
  <c r="BA521" i="2"/>
  <c r="AZ521" i="2"/>
  <c r="AY521" i="2"/>
  <c r="AX521" i="2"/>
  <c r="AW521" i="2"/>
  <c r="AV521" i="2"/>
  <c r="AU521" i="2"/>
  <c r="BB520" i="2"/>
  <c r="BA520" i="2"/>
  <c r="AZ520" i="2"/>
  <c r="AY520" i="2"/>
  <c r="AX520" i="2"/>
  <c r="AW520" i="2"/>
  <c r="AV520" i="2"/>
  <c r="AU520" i="2"/>
  <c r="BB519" i="2"/>
  <c r="BA519" i="2"/>
  <c r="AZ519" i="2"/>
  <c r="AY519" i="2"/>
  <c r="AX519" i="2"/>
  <c r="AW519" i="2"/>
  <c r="AV519" i="2"/>
  <c r="AU519" i="2"/>
  <c r="BB518" i="2"/>
  <c r="BA518" i="2"/>
  <c r="AZ518" i="2"/>
  <c r="AY518" i="2"/>
  <c r="AX518" i="2"/>
  <c r="AW518" i="2"/>
  <c r="AV518" i="2"/>
  <c r="AU518" i="2"/>
  <c r="BB517" i="2"/>
  <c r="BA517" i="2"/>
  <c r="AZ517" i="2"/>
  <c r="AY517" i="2"/>
  <c r="AX517" i="2"/>
  <c r="AW517" i="2"/>
  <c r="AV517" i="2"/>
  <c r="AU517" i="2"/>
  <c r="BB516" i="2"/>
  <c r="BA516" i="2"/>
  <c r="AZ516" i="2"/>
  <c r="AY516" i="2"/>
  <c r="AX516" i="2"/>
  <c r="AW516" i="2"/>
  <c r="AV516" i="2"/>
  <c r="AU516" i="2"/>
  <c r="BB515" i="2"/>
  <c r="BA515" i="2"/>
  <c r="AZ515" i="2"/>
  <c r="AY515" i="2"/>
  <c r="AX515" i="2"/>
  <c r="AW515" i="2"/>
  <c r="AV515" i="2"/>
  <c r="AU515" i="2"/>
  <c r="BB514" i="2"/>
  <c r="BA514" i="2"/>
  <c r="AZ514" i="2"/>
  <c r="AY514" i="2"/>
  <c r="AX514" i="2"/>
  <c r="AW514" i="2"/>
  <c r="AV514" i="2"/>
  <c r="AU514" i="2"/>
  <c r="BB513" i="2"/>
  <c r="BA513" i="2"/>
  <c r="AZ513" i="2"/>
  <c r="AY513" i="2"/>
  <c r="AX513" i="2"/>
  <c r="AW513" i="2"/>
  <c r="AV513" i="2"/>
  <c r="AU513" i="2"/>
  <c r="BB512" i="2"/>
  <c r="BA512" i="2"/>
  <c r="AZ512" i="2"/>
  <c r="AY512" i="2"/>
  <c r="AX512" i="2"/>
  <c r="AW512" i="2"/>
  <c r="AV512" i="2"/>
  <c r="AU512" i="2"/>
  <c r="BB511" i="2"/>
  <c r="BA511" i="2"/>
  <c r="AZ511" i="2"/>
  <c r="AY511" i="2"/>
  <c r="AX511" i="2"/>
  <c r="AW511" i="2"/>
  <c r="AV511" i="2"/>
  <c r="AU511" i="2"/>
  <c r="BB510" i="2"/>
  <c r="BA510" i="2"/>
  <c r="AZ510" i="2"/>
  <c r="AY510" i="2"/>
  <c r="AX510" i="2"/>
  <c r="AW510" i="2"/>
  <c r="AV510" i="2"/>
  <c r="AU510" i="2"/>
  <c r="BB509" i="2"/>
  <c r="BA509" i="2"/>
  <c r="AZ509" i="2"/>
  <c r="AY509" i="2"/>
  <c r="AX509" i="2"/>
  <c r="AW509" i="2"/>
  <c r="AV509" i="2"/>
  <c r="AU509" i="2"/>
  <c r="BB508" i="2"/>
  <c r="BA508" i="2"/>
  <c r="AZ508" i="2"/>
  <c r="AY508" i="2"/>
  <c r="AX508" i="2"/>
  <c r="AW508" i="2"/>
  <c r="AV508" i="2"/>
  <c r="AU508" i="2"/>
  <c r="BB507" i="2"/>
  <c r="BA507" i="2"/>
  <c r="AZ507" i="2"/>
  <c r="AY507" i="2"/>
  <c r="AX507" i="2"/>
  <c r="AW507" i="2"/>
  <c r="AV507" i="2"/>
  <c r="AU507" i="2"/>
  <c r="BB506" i="2"/>
  <c r="BA506" i="2"/>
  <c r="AZ506" i="2"/>
  <c r="AY506" i="2"/>
  <c r="AX506" i="2"/>
  <c r="AW506" i="2"/>
  <c r="AV506" i="2"/>
  <c r="AU506" i="2"/>
  <c r="BB505" i="2"/>
  <c r="BA505" i="2"/>
  <c r="AZ505" i="2"/>
  <c r="AY505" i="2"/>
  <c r="AX505" i="2"/>
  <c r="AW505" i="2"/>
  <c r="AV505" i="2"/>
  <c r="AU505" i="2"/>
  <c r="BB504" i="2"/>
  <c r="BA504" i="2"/>
  <c r="AZ504" i="2"/>
  <c r="AY504" i="2"/>
  <c r="AX504" i="2"/>
  <c r="AW504" i="2"/>
  <c r="AV504" i="2"/>
  <c r="AU504" i="2"/>
  <c r="BB503" i="2"/>
  <c r="BA503" i="2"/>
  <c r="AZ503" i="2"/>
  <c r="AY503" i="2"/>
  <c r="AX503" i="2"/>
  <c r="AW503" i="2"/>
  <c r="AV503" i="2"/>
  <c r="AU503" i="2"/>
  <c r="BB502" i="2"/>
  <c r="BA502" i="2"/>
  <c r="AZ502" i="2"/>
  <c r="AY502" i="2"/>
  <c r="AX502" i="2"/>
  <c r="AW502" i="2"/>
  <c r="AV502" i="2"/>
  <c r="AU502" i="2"/>
  <c r="BB501" i="2"/>
  <c r="BA501" i="2"/>
  <c r="AZ501" i="2"/>
  <c r="AY501" i="2"/>
  <c r="AX501" i="2"/>
  <c r="AW501" i="2"/>
  <c r="AV501" i="2"/>
  <c r="AU501" i="2"/>
  <c r="BB500" i="2"/>
  <c r="BA500" i="2"/>
  <c r="AZ500" i="2"/>
  <c r="AY500" i="2"/>
  <c r="AX500" i="2"/>
  <c r="AW500" i="2"/>
  <c r="AV500" i="2"/>
  <c r="AU500" i="2"/>
  <c r="BB499" i="2"/>
  <c r="BA499" i="2"/>
  <c r="AZ499" i="2"/>
  <c r="AY499" i="2"/>
  <c r="AX499" i="2"/>
  <c r="AW499" i="2"/>
  <c r="AV499" i="2"/>
  <c r="AU499" i="2"/>
  <c r="BB498" i="2"/>
  <c r="BA498" i="2"/>
  <c r="AZ498" i="2"/>
  <c r="AY498" i="2"/>
  <c r="AX498" i="2"/>
  <c r="AW498" i="2"/>
  <c r="AV498" i="2"/>
  <c r="AU498" i="2"/>
  <c r="BB497" i="2"/>
  <c r="BA497" i="2"/>
  <c r="AZ497" i="2"/>
  <c r="AY497" i="2"/>
  <c r="AX497" i="2"/>
  <c r="AW497" i="2"/>
  <c r="AV497" i="2"/>
  <c r="AU497" i="2"/>
  <c r="BB496" i="2"/>
  <c r="BA496" i="2"/>
  <c r="AZ496" i="2"/>
  <c r="AY496" i="2"/>
  <c r="AX496" i="2"/>
  <c r="AW496" i="2"/>
  <c r="AV496" i="2"/>
  <c r="AU496" i="2"/>
  <c r="BB495" i="2"/>
  <c r="BA495" i="2"/>
  <c r="AZ495" i="2"/>
  <c r="AY495" i="2"/>
  <c r="AX495" i="2"/>
  <c r="AW495" i="2"/>
  <c r="AV495" i="2"/>
  <c r="AU495" i="2"/>
  <c r="BB494" i="2"/>
  <c r="BA494" i="2"/>
  <c r="AZ494" i="2"/>
  <c r="AY494" i="2"/>
  <c r="AX494" i="2"/>
  <c r="AW494" i="2"/>
  <c r="AV494" i="2"/>
  <c r="AU494" i="2"/>
  <c r="BB493" i="2"/>
  <c r="BA493" i="2"/>
  <c r="AZ493" i="2"/>
  <c r="AY493" i="2"/>
  <c r="AX493" i="2"/>
  <c r="AW493" i="2"/>
  <c r="AV493" i="2"/>
  <c r="AU493" i="2"/>
  <c r="BB492" i="2"/>
  <c r="BA492" i="2"/>
  <c r="AZ492" i="2"/>
  <c r="AY492" i="2"/>
  <c r="AX492" i="2"/>
  <c r="AW492" i="2"/>
  <c r="AV492" i="2"/>
  <c r="AU492" i="2"/>
  <c r="BB491" i="2"/>
  <c r="BA491" i="2"/>
  <c r="AZ491" i="2"/>
  <c r="AY491" i="2"/>
  <c r="AX491" i="2"/>
  <c r="AW491" i="2"/>
  <c r="AV491" i="2"/>
  <c r="AU491" i="2"/>
  <c r="BB490" i="2"/>
  <c r="BA490" i="2"/>
  <c r="AZ490" i="2"/>
  <c r="AY490" i="2"/>
  <c r="AX490" i="2"/>
  <c r="AW490" i="2"/>
  <c r="AV490" i="2"/>
  <c r="AU490" i="2"/>
  <c r="BB489" i="2"/>
  <c r="BA489" i="2"/>
  <c r="AZ489" i="2"/>
  <c r="AY489" i="2"/>
  <c r="AX489" i="2"/>
  <c r="AW489" i="2"/>
  <c r="AV489" i="2"/>
  <c r="AU489" i="2"/>
  <c r="BB488" i="2"/>
  <c r="BA488" i="2"/>
  <c r="AZ488" i="2"/>
  <c r="AY488" i="2"/>
  <c r="AX488" i="2"/>
  <c r="AW488" i="2"/>
  <c r="AV488" i="2"/>
  <c r="AU488" i="2"/>
  <c r="BB487" i="2"/>
  <c r="BA487" i="2"/>
  <c r="AZ487" i="2"/>
  <c r="AY487" i="2"/>
  <c r="AX487" i="2"/>
  <c r="AW487" i="2"/>
  <c r="AV487" i="2"/>
  <c r="AU487" i="2"/>
  <c r="BB486" i="2"/>
  <c r="BA486" i="2"/>
  <c r="AZ486" i="2"/>
  <c r="AY486" i="2"/>
  <c r="AX486" i="2"/>
  <c r="AW486" i="2"/>
  <c r="AV486" i="2"/>
  <c r="AU486" i="2"/>
  <c r="BB485" i="2"/>
  <c r="BA485" i="2"/>
  <c r="AZ485" i="2"/>
  <c r="AY485" i="2"/>
  <c r="AX485" i="2"/>
  <c r="AW485" i="2"/>
  <c r="AV485" i="2"/>
  <c r="AU485" i="2"/>
  <c r="BB484" i="2"/>
  <c r="BA484" i="2"/>
  <c r="AZ484" i="2"/>
  <c r="AY484" i="2"/>
  <c r="AX484" i="2"/>
  <c r="AW484" i="2"/>
  <c r="AV484" i="2"/>
  <c r="AU484" i="2"/>
  <c r="BB483" i="2"/>
  <c r="BA483" i="2"/>
  <c r="AZ483" i="2"/>
  <c r="AY483" i="2"/>
  <c r="AX483" i="2"/>
  <c r="AW483" i="2"/>
  <c r="AV483" i="2"/>
  <c r="AU483" i="2"/>
  <c r="BB482" i="2"/>
  <c r="BA482" i="2"/>
  <c r="AZ482" i="2"/>
  <c r="AY482" i="2"/>
  <c r="AX482" i="2"/>
  <c r="AW482" i="2"/>
  <c r="AV482" i="2"/>
  <c r="AU482" i="2"/>
  <c r="BB481" i="2"/>
  <c r="BA481" i="2"/>
  <c r="AZ481" i="2"/>
  <c r="AY481" i="2"/>
  <c r="AX481" i="2"/>
  <c r="AW481" i="2"/>
  <c r="AV481" i="2"/>
  <c r="AU481" i="2"/>
  <c r="BB480" i="2"/>
  <c r="BA480" i="2"/>
  <c r="AZ480" i="2"/>
  <c r="AY480" i="2"/>
  <c r="AX480" i="2"/>
  <c r="AW480" i="2"/>
  <c r="AV480" i="2"/>
  <c r="AU480" i="2"/>
  <c r="BB479" i="2"/>
  <c r="BA479" i="2"/>
  <c r="AZ479" i="2"/>
  <c r="AY479" i="2"/>
  <c r="AX479" i="2"/>
  <c r="AW479" i="2"/>
  <c r="AV479" i="2"/>
  <c r="AU479" i="2"/>
  <c r="BB478" i="2"/>
  <c r="BA478" i="2"/>
  <c r="AZ478" i="2"/>
  <c r="AY478" i="2"/>
  <c r="AX478" i="2"/>
  <c r="AW478" i="2"/>
  <c r="AV478" i="2"/>
  <c r="AU478" i="2"/>
  <c r="BB477" i="2"/>
  <c r="BA477" i="2"/>
  <c r="AZ477" i="2"/>
  <c r="AY477" i="2"/>
  <c r="AX477" i="2"/>
  <c r="AW477" i="2"/>
  <c r="AV477" i="2"/>
  <c r="AU477" i="2"/>
  <c r="BB476" i="2"/>
  <c r="BA476" i="2"/>
  <c r="AZ476" i="2"/>
  <c r="AY476" i="2"/>
  <c r="AX476" i="2"/>
  <c r="AW476" i="2"/>
  <c r="AV476" i="2"/>
  <c r="AU476" i="2"/>
  <c r="BB475" i="2"/>
  <c r="BA475" i="2"/>
  <c r="AZ475" i="2"/>
  <c r="AY475" i="2"/>
  <c r="AX475" i="2"/>
  <c r="AW475" i="2"/>
  <c r="AV475" i="2"/>
  <c r="AU475" i="2"/>
  <c r="BB474" i="2"/>
  <c r="BA474" i="2"/>
  <c r="AZ474" i="2"/>
  <c r="AY474" i="2"/>
  <c r="AX474" i="2"/>
  <c r="AW474" i="2"/>
  <c r="AV474" i="2"/>
  <c r="AU474" i="2"/>
  <c r="BB473" i="2"/>
  <c r="BA473" i="2"/>
  <c r="AZ473" i="2"/>
  <c r="AY473" i="2"/>
  <c r="AX473" i="2"/>
  <c r="AW473" i="2"/>
  <c r="AV473" i="2"/>
  <c r="AU473" i="2"/>
  <c r="BB472" i="2"/>
  <c r="BA472" i="2"/>
  <c r="AZ472" i="2"/>
  <c r="AY472" i="2"/>
  <c r="AX472" i="2"/>
  <c r="AW472" i="2"/>
  <c r="AV472" i="2"/>
  <c r="AU472" i="2"/>
  <c r="BB471" i="2"/>
  <c r="BA471" i="2"/>
  <c r="AZ471" i="2"/>
  <c r="AY471" i="2"/>
  <c r="AX471" i="2"/>
  <c r="AW471" i="2"/>
  <c r="AV471" i="2"/>
  <c r="AU471" i="2"/>
  <c r="BB470" i="2"/>
  <c r="BA470" i="2"/>
  <c r="AZ470" i="2"/>
  <c r="AY470" i="2"/>
  <c r="AX470" i="2"/>
  <c r="AW470" i="2"/>
  <c r="AV470" i="2"/>
  <c r="AU470" i="2"/>
  <c r="BB469" i="2"/>
  <c r="BA469" i="2"/>
  <c r="AZ469" i="2"/>
  <c r="AY469" i="2"/>
  <c r="AX469" i="2"/>
  <c r="AW469" i="2"/>
  <c r="AV469" i="2"/>
  <c r="AU469" i="2"/>
  <c r="BB468" i="2"/>
  <c r="BA468" i="2"/>
  <c r="AZ468" i="2"/>
  <c r="AY468" i="2"/>
  <c r="AX468" i="2"/>
  <c r="AW468" i="2"/>
  <c r="AV468" i="2"/>
  <c r="AU468" i="2"/>
  <c r="BB467" i="2"/>
  <c r="BA467" i="2"/>
  <c r="AZ467" i="2"/>
  <c r="AY467" i="2"/>
  <c r="AX467" i="2"/>
  <c r="AW467" i="2"/>
  <c r="AV467" i="2"/>
  <c r="AU467" i="2"/>
  <c r="BB466" i="2"/>
  <c r="BA466" i="2"/>
  <c r="AZ466" i="2"/>
  <c r="AY466" i="2"/>
  <c r="AX466" i="2"/>
  <c r="AW466" i="2"/>
  <c r="AV466" i="2"/>
  <c r="AU466" i="2"/>
  <c r="BB465" i="2"/>
  <c r="BA465" i="2"/>
  <c r="AZ465" i="2"/>
  <c r="AY465" i="2"/>
  <c r="AX465" i="2"/>
  <c r="AW465" i="2"/>
  <c r="AV465" i="2"/>
  <c r="AU465" i="2"/>
  <c r="BB464" i="2"/>
  <c r="BA464" i="2"/>
  <c r="AZ464" i="2"/>
  <c r="AY464" i="2"/>
  <c r="AX464" i="2"/>
  <c r="AW464" i="2"/>
  <c r="AV464" i="2"/>
  <c r="AU464" i="2"/>
  <c r="BB463" i="2"/>
  <c r="BA463" i="2"/>
  <c r="AZ463" i="2"/>
  <c r="AY463" i="2"/>
  <c r="AX463" i="2"/>
  <c r="AW463" i="2"/>
  <c r="AV463" i="2"/>
  <c r="AU463" i="2"/>
  <c r="BB462" i="2"/>
  <c r="BA462" i="2"/>
  <c r="AZ462" i="2"/>
  <c r="AY462" i="2"/>
  <c r="AX462" i="2"/>
  <c r="AW462" i="2"/>
  <c r="AV462" i="2"/>
  <c r="AU462" i="2"/>
  <c r="BB461" i="2"/>
  <c r="BA461" i="2"/>
  <c r="AZ461" i="2"/>
  <c r="AY461" i="2"/>
  <c r="AX461" i="2"/>
  <c r="AW461" i="2"/>
  <c r="AV461" i="2"/>
  <c r="AU461" i="2"/>
  <c r="BB460" i="2"/>
  <c r="BA460" i="2"/>
  <c r="AZ460" i="2"/>
  <c r="AY460" i="2"/>
  <c r="AX460" i="2"/>
  <c r="AW460" i="2"/>
  <c r="AV460" i="2"/>
  <c r="AU460" i="2"/>
  <c r="BB459" i="2"/>
  <c r="BA459" i="2"/>
  <c r="AZ459" i="2"/>
  <c r="AY459" i="2"/>
  <c r="AX459" i="2"/>
  <c r="AW459" i="2"/>
  <c r="AV459" i="2"/>
  <c r="AU459" i="2"/>
  <c r="BB458" i="2"/>
  <c r="BA458" i="2"/>
  <c r="AZ458" i="2"/>
  <c r="AY458" i="2"/>
  <c r="AX458" i="2"/>
  <c r="AW458" i="2"/>
  <c r="AV458" i="2"/>
  <c r="AU458" i="2"/>
  <c r="BB457" i="2"/>
  <c r="BA457" i="2"/>
  <c r="AZ457" i="2"/>
  <c r="AY457" i="2"/>
  <c r="AX457" i="2"/>
  <c r="AW457" i="2"/>
  <c r="AV457" i="2"/>
  <c r="AU457" i="2"/>
  <c r="BB456" i="2"/>
  <c r="BA456" i="2"/>
  <c r="AZ456" i="2"/>
  <c r="AY456" i="2"/>
  <c r="AX456" i="2"/>
  <c r="AW456" i="2"/>
  <c r="AV456" i="2"/>
  <c r="AU456" i="2"/>
  <c r="BB455" i="2"/>
  <c r="BA455" i="2"/>
  <c r="AZ455" i="2"/>
  <c r="AY455" i="2"/>
  <c r="AX455" i="2"/>
  <c r="AW455" i="2"/>
  <c r="AV455" i="2"/>
  <c r="AU455" i="2"/>
  <c r="BB454" i="2"/>
  <c r="BA454" i="2"/>
  <c r="AZ454" i="2"/>
  <c r="AY454" i="2"/>
  <c r="AX454" i="2"/>
  <c r="AW454" i="2"/>
  <c r="AV454" i="2"/>
  <c r="AU454" i="2"/>
  <c r="BB453" i="2"/>
  <c r="BA453" i="2"/>
  <c r="AZ453" i="2"/>
  <c r="AY453" i="2"/>
  <c r="AX453" i="2"/>
  <c r="AW453" i="2"/>
  <c r="AV453" i="2"/>
  <c r="AU453" i="2"/>
  <c r="BB452" i="2"/>
  <c r="BA452" i="2"/>
  <c r="AZ452" i="2"/>
  <c r="AY452" i="2"/>
  <c r="AX452" i="2"/>
  <c r="AW452" i="2"/>
  <c r="AV452" i="2"/>
  <c r="AU452" i="2"/>
  <c r="BB451" i="2"/>
  <c r="BA451" i="2"/>
  <c r="AZ451" i="2"/>
  <c r="AY451" i="2"/>
  <c r="AX451" i="2"/>
  <c r="AW451" i="2"/>
  <c r="AV451" i="2"/>
  <c r="AU451" i="2"/>
  <c r="BB450" i="2"/>
  <c r="BA450" i="2"/>
  <c r="AZ450" i="2"/>
  <c r="AY450" i="2"/>
  <c r="AX450" i="2"/>
  <c r="AW450" i="2"/>
  <c r="AV450" i="2"/>
  <c r="AU450" i="2"/>
  <c r="BB449" i="2"/>
  <c r="BA449" i="2"/>
  <c r="AZ449" i="2"/>
  <c r="AY449" i="2"/>
  <c r="AX449" i="2"/>
  <c r="AW449" i="2"/>
  <c r="AV449" i="2"/>
  <c r="AU449" i="2"/>
  <c r="BB448" i="2"/>
  <c r="BA448" i="2"/>
  <c r="AZ448" i="2"/>
  <c r="AY448" i="2"/>
  <c r="AX448" i="2"/>
  <c r="AW448" i="2"/>
  <c r="AV448" i="2"/>
  <c r="AU448" i="2"/>
  <c r="BB447" i="2"/>
  <c r="BA447" i="2"/>
  <c r="AZ447" i="2"/>
  <c r="AY447" i="2"/>
  <c r="AX447" i="2"/>
  <c r="AW447" i="2"/>
  <c r="AV447" i="2"/>
  <c r="AU447" i="2"/>
  <c r="BB446" i="2"/>
  <c r="BA446" i="2"/>
  <c r="AZ446" i="2"/>
  <c r="AY446" i="2"/>
  <c r="AX446" i="2"/>
  <c r="AW446" i="2"/>
  <c r="AV446" i="2"/>
  <c r="AU446" i="2"/>
  <c r="BB445" i="2"/>
  <c r="BA445" i="2"/>
  <c r="AZ445" i="2"/>
  <c r="AY445" i="2"/>
  <c r="AX445" i="2"/>
  <c r="AW445" i="2"/>
  <c r="AV445" i="2"/>
  <c r="AU445" i="2"/>
  <c r="BB444" i="2"/>
  <c r="BA444" i="2"/>
  <c r="AZ444" i="2"/>
  <c r="AY444" i="2"/>
  <c r="AX444" i="2"/>
  <c r="AW444" i="2"/>
  <c r="AV444" i="2"/>
  <c r="AU444" i="2"/>
  <c r="BB443" i="2"/>
  <c r="BA443" i="2"/>
  <c r="AZ443" i="2"/>
  <c r="AY443" i="2"/>
  <c r="AX443" i="2"/>
  <c r="AW443" i="2"/>
  <c r="AV443" i="2"/>
  <c r="AU443" i="2"/>
  <c r="BB442" i="2"/>
  <c r="BA442" i="2"/>
  <c r="AZ442" i="2"/>
  <c r="AY442" i="2"/>
  <c r="AX442" i="2"/>
  <c r="AW442" i="2"/>
  <c r="AV442" i="2"/>
  <c r="AU442" i="2"/>
  <c r="BB441" i="2"/>
  <c r="BA441" i="2"/>
  <c r="AZ441" i="2"/>
  <c r="AY441" i="2"/>
  <c r="AX441" i="2"/>
  <c r="AW441" i="2"/>
  <c r="AV441" i="2"/>
  <c r="AU441" i="2"/>
  <c r="BB440" i="2"/>
  <c r="BA440" i="2"/>
  <c r="AZ440" i="2"/>
  <c r="AY440" i="2"/>
  <c r="AX440" i="2"/>
  <c r="AW440" i="2"/>
  <c r="AV440" i="2"/>
  <c r="AU440" i="2"/>
  <c r="BB439" i="2"/>
  <c r="BA439" i="2"/>
  <c r="AZ439" i="2"/>
  <c r="AY439" i="2"/>
  <c r="AX439" i="2"/>
  <c r="AW439" i="2"/>
  <c r="AV439" i="2"/>
  <c r="AU439" i="2"/>
  <c r="BB438" i="2"/>
  <c r="BA438" i="2"/>
  <c r="AZ438" i="2"/>
  <c r="AY438" i="2"/>
  <c r="AX438" i="2"/>
  <c r="AW438" i="2"/>
  <c r="AV438" i="2"/>
  <c r="AU438" i="2"/>
  <c r="BB437" i="2"/>
  <c r="BA437" i="2"/>
  <c r="AZ437" i="2"/>
  <c r="AY437" i="2"/>
  <c r="AX437" i="2"/>
  <c r="AW437" i="2"/>
  <c r="AV437" i="2"/>
  <c r="AU437" i="2"/>
  <c r="BB436" i="2"/>
  <c r="BA436" i="2"/>
  <c r="AZ436" i="2"/>
  <c r="AY436" i="2"/>
  <c r="AX436" i="2"/>
  <c r="AW436" i="2"/>
  <c r="AV436" i="2"/>
  <c r="AU436" i="2"/>
  <c r="BB435" i="2"/>
  <c r="BA435" i="2"/>
  <c r="AZ435" i="2"/>
  <c r="AY435" i="2"/>
  <c r="AX435" i="2"/>
  <c r="AW435" i="2"/>
  <c r="AV435" i="2"/>
  <c r="AU435" i="2"/>
  <c r="BB434" i="2"/>
  <c r="BA434" i="2"/>
  <c r="AZ434" i="2"/>
  <c r="AY434" i="2"/>
  <c r="AX434" i="2"/>
  <c r="AW434" i="2"/>
  <c r="AV434" i="2"/>
  <c r="AU434" i="2"/>
  <c r="BB433" i="2"/>
  <c r="BA433" i="2"/>
  <c r="AZ433" i="2"/>
  <c r="AY433" i="2"/>
  <c r="AX433" i="2"/>
  <c r="AW433" i="2"/>
  <c r="AV433" i="2"/>
  <c r="AU433" i="2"/>
  <c r="BB432" i="2"/>
  <c r="BA432" i="2"/>
  <c r="AZ432" i="2"/>
  <c r="AY432" i="2"/>
  <c r="AX432" i="2"/>
  <c r="AW432" i="2"/>
  <c r="AV432" i="2"/>
  <c r="AU432" i="2"/>
  <c r="BB431" i="2"/>
  <c r="BA431" i="2"/>
  <c r="AZ431" i="2"/>
  <c r="AY431" i="2"/>
  <c r="AX431" i="2"/>
  <c r="AW431" i="2"/>
  <c r="AV431" i="2"/>
  <c r="AU431" i="2"/>
  <c r="BB430" i="2"/>
  <c r="BA430" i="2"/>
  <c r="AZ430" i="2"/>
  <c r="AY430" i="2"/>
  <c r="AX430" i="2"/>
  <c r="AW430" i="2"/>
  <c r="AV430" i="2"/>
  <c r="AU430" i="2"/>
  <c r="BB429" i="2"/>
  <c r="BA429" i="2"/>
  <c r="AZ429" i="2"/>
  <c r="AY429" i="2"/>
  <c r="AX429" i="2"/>
  <c r="AW429" i="2"/>
  <c r="AV429" i="2"/>
  <c r="AU429" i="2"/>
  <c r="BB428" i="2"/>
  <c r="BA428" i="2"/>
  <c r="AZ428" i="2"/>
  <c r="AY428" i="2"/>
  <c r="AX428" i="2"/>
  <c r="AW428" i="2"/>
  <c r="AV428" i="2"/>
  <c r="AU428" i="2"/>
  <c r="BB427" i="2"/>
  <c r="BA427" i="2"/>
  <c r="AZ427" i="2"/>
  <c r="AY427" i="2"/>
  <c r="AX427" i="2"/>
  <c r="AW427" i="2"/>
  <c r="AV427" i="2"/>
  <c r="AU427" i="2"/>
  <c r="BB426" i="2"/>
  <c r="BA426" i="2"/>
  <c r="AZ426" i="2"/>
  <c r="AY426" i="2"/>
  <c r="AX426" i="2"/>
  <c r="AW426" i="2"/>
  <c r="AV426" i="2"/>
  <c r="AU426" i="2"/>
  <c r="BB425" i="2"/>
  <c r="BA425" i="2"/>
  <c r="AZ425" i="2"/>
  <c r="AY425" i="2"/>
  <c r="AX425" i="2"/>
  <c r="AW425" i="2"/>
  <c r="AV425" i="2"/>
  <c r="AU425" i="2"/>
  <c r="BB424" i="2"/>
  <c r="BA424" i="2"/>
  <c r="AZ424" i="2"/>
  <c r="AY424" i="2"/>
  <c r="AX424" i="2"/>
  <c r="AW424" i="2"/>
  <c r="AV424" i="2"/>
  <c r="AU424" i="2"/>
  <c r="BB423" i="2"/>
  <c r="BA423" i="2"/>
  <c r="AZ423" i="2"/>
  <c r="AY423" i="2"/>
  <c r="AX423" i="2"/>
  <c r="AW423" i="2"/>
  <c r="AV423" i="2"/>
  <c r="AU423" i="2"/>
  <c r="BB422" i="2"/>
  <c r="BA422" i="2"/>
  <c r="AZ422" i="2"/>
  <c r="AY422" i="2"/>
  <c r="AX422" i="2"/>
  <c r="AW422" i="2"/>
  <c r="AV422" i="2"/>
  <c r="AU422" i="2"/>
  <c r="BB421" i="2"/>
  <c r="BA421" i="2"/>
  <c r="AZ421" i="2"/>
  <c r="AY421" i="2"/>
  <c r="AX421" i="2"/>
  <c r="AW421" i="2"/>
  <c r="AV421" i="2"/>
  <c r="AU421" i="2"/>
  <c r="BB420" i="2"/>
  <c r="BA420" i="2"/>
  <c r="AZ420" i="2"/>
  <c r="AY420" i="2"/>
  <c r="AX420" i="2"/>
  <c r="AW420" i="2"/>
  <c r="AV420" i="2"/>
  <c r="AU420" i="2"/>
  <c r="BB419" i="2"/>
  <c r="BA419" i="2"/>
  <c r="AZ419" i="2"/>
  <c r="AY419" i="2"/>
  <c r="AX419" i="2"/>
  <c r="AW419" i="2"/>
  <c r="AV419" i="2"/>
  <c r="AU419" i="2"/>
  <c r="BB418" i="2"/>
  <c r="BA418" i="2"/>
  <c r="AZ418" i="2"/>
  <c r="AY418" i="2"/>
  <c r="AX418" i="2"/>
  <c r="AW418" i="2"/>
  <c r="AV418" i="2"/>
  <c r="AU418" i="2"/>
  <c r="BB417" i="2"/>
  <c r="BA417" i="2"/>
  <c r="AZ417" i="2"/>
  <c r="AY417" i="2"/>
  <c r="AX417" i="2"/>
  <c r="AW417" i="2"/>
  <c r="AV417" i="2"/>
  <c r="AU417" i="2"/>
  <c r="BB416" i="2"/>
  <c r="BA416" i="2"/>
  <c r="AZ416" i="2"/>
  <c r="AY416" i="2"/>
  <c r="AX416" i="2"/>
  <c r="AW416" i="2"/>
  <c r="AV416" i="2"/>
  <c r="AU416" i="2"/>
  <c r="BB415" i="2"/>
  <c r="BA415" i="2"/>
  <c r="AZ415" i="2"/>
  <c r="AY415" i="2"/>
  <c r="AX415" i="2"/>
  <c r="AW415" i="2"/>
  <c r="AV415" i="2"/>
  <c r="AU415" i="2"/>
  <c r="BB414" i="2"/>
  <c r="BA414" i="2"/>
  <c r="AZ414" i="2"/>
  <c r="AY414" i="2"/>
  <c r="AX414" i="2"/>
  <c r="AW414" i="2"/>
  <c r="AV414" i="2"/>
  <c r="AU414" i="2"/>
  <c r="BB413" i="2"/>
  <c r="BA413" i="2"/>
  <c r="AZ413" i="2"/>
  <c r="AY413" i="2"/>
  <c r="AX413" i="2"/>
  <c r="AW413" i="2"/>
  <c r="AV413" i="2"/>
  <c r="AU413" i="2"/>
  <c r="BB412" i="2"/>
  <c r="BA412" i="2"/>
  <c r="AZ412" i="2"/>
  <c r="AY412" i="2"/>
  <c r="AX412" i="2"/>
  <c r="AW412" i="2"/>
  <c r="AV412" i="2"/>
  <c r="AU412" i="2"/>
  <c r="BB411" i="2"/>
  <c r="BA411" i="2"/>
  <c r="AZ411" i="2"/>
  <c r="AY411" i="2"/>
  <c r="AX411" i="2"/>
  <c r="AW411" i="2"/>
  <c r="AV411" i="2"/>
  <c r="AU411" i="2"/>
  <c r="BB410" i="2"/>
  <c r="BA410" i="2"/>
  <c r="AZ410" i="2"/>
  <c r="AY410" i="2"/>
  <c r="AX410" i="2"/>
  <c r="AW410" i="2"/>
  <c r="AV410" i="2"/>
  <c r="AU410" i="2"/>
  <c r="BB409" i="2"/>
  <c r="BA409" i="2"/>
  <c r="AZ409" i="2"/>
  <c r="AY409" i="2"/>
  <c r="AX409" i="2"/>
  <c r="AW409" i="2"/>
  <c r="AV409" i="2"/>
  <c r="AU409" i="2"/>
  <c r="BB408" i="2"/>
  <c r="BA408" i="2"/>
  <c r="AZ408" i="2"/>
  <c r="AY408" i="2"/>
  <c r="AX408" i="2"/>
  <c r="AW408" i="2"/>
  <c r="AV408" i="2"/>
  <c r="AU408" i="2"/>
  <c r="BB407" i="2"/>
  <c r="BA407" i="2"/>
  <c r="AZ407" i="2"/>
  <c r="AY407" i="2"/>
  <c r="AX407" i="2"/>
  <c r="AW407" i="2"/>
  <c r="AV407" i="2"/>
  <c r="AU407" i="2"/>
  <c r="BB406" i="2"/>
  <c r="BA406" i="2"/>
  <c r="AZ406" i="2"/>
  <c r="AY406" i="2"/>
  <c r="AX406" i="2"/>
  <c r="AW406" i="2"/>
  <c r="AV406" i="2"/>
  <c r="AU406" i="2"/>
  <c r="BB405" i="2"/>
  <c r="BA405" i="2"/>
  <c r="AZ405" i="2"/>
  <c r="AY405" i="2"/>
  <c r="AX405" i="2"/>
  <c r="AW405" i="2"/>
  <c r="AV405" i="2"/>
  <c r="AU405" i="2"/>
  <c r="BB404" i="2"/>
  <c r="BA404" i="2"/>
  <c r="AZ404" i="2"/>
  <c r="AY404" i="2"/>
  <c r="AX404" i="2"/>
  <c r="AW404" i="2"/>
  <c r="AV404" i="2"/>
  <c r="AU404" i="2"/>
  <c r="BB403" i="2"/>
  <c r="BA403" i="2"/>
  <c r="AZ403" i="2"/>
  <c r="AY403" i="2"/>
  <c r="AX403" i="2"/>
  <c r="AW403" i="2"/>
  <c r="AV403" i="2"/>
  <c r="AU403" i="2"/>
  <c r="BB402" i="2"/>
  <c r="BA402" i="2"/>
  <c r="AZ402" i="2"/>
  <c r="AY402" i="2"/>
  <c r="AX402" i="2"/>
  <c r="AW402" i="2"/>
  <c r="AV402" i="2"/>
  <c r="AU402" i="2"/>
  <c r="BB401" i="2"/>
  <c r="BA401" i="2"/>
  <c r="AZ401" i="2"/>
  <c r="AY401" i="2"/>
  <c r="AX401" i="2"/>
  <c r="AW401" i="2"/>
  <c r="AV401" i="2"/>
  <c r="AU401" i="2"/>
  <c r="BB400" i="2"/>
  <c r="BA400" i="2"/>
  <c r="AZ400" i="2"/>
  <c r="AY400" i="2"/>
  <c r="AX400" i="2"/>
  <c r="AW400" i="2"/>
  <c r="AV400" i="2"/>
  <c r="AU400" i="2"/>
  <c r="BB399" i="2"/>
  <c r="BA399" i="2"/>
  <c r="AZ399" i="2"/>
  <c r="AY399" i="2"/>
  <c r="AX399" i="2"/>
  <c r="AW399" i="2"/>
  <c r="AV399" i="2"/>
  <c r="AU399" i="2"/>
  <c r="BB398" i="2"/>
  <c r="BA398" i="2"/>
  <c r="AZ398" i="2"/>
  <c r="AY398" i="2"/>
  <c r="AX398" i="2"/>
  <c r="AW398" i="2"/>
  <c r="AV398" i="2"/>
  <c r="AU398" i="2"/>
  <c r="BB397" i="2"/>
  <c r="BA397" i="2"/>
  <c r="AZ397" i="2"/>
  <c r="AY397" i="2"/>
  <c r="AX397" i="2"/>
  <c r="AW397" i="2"/>
  <c r="AV397" i="2"/>
  <c r="AU397" i="2"/>
  <c r="BB396" i="2"/>
  <c r="BA396" i="2"/>
  <c r="AZ396" i="2"/>
  <c r="AY396" i="2"/>
  <c r="AX396" i="2"/>
  <c r="AW396" i="2"/>
  <c r="AV396" i="2"/>
  <c r="AU396" i="2"/>
  <c r="BB395" i="2"/>
  <c r="BA395" i="2"/>
  <c r="AZ395" i="2"/>
  <c r="AY395" i="2"/>
  <c r="AX395" i="2"/>
  <c r="AW395" i="2"/>
  <c r="AV395" i="2"/>
  <c r="AU395" i="2"/>
  <c r="BB394" i="2"/>
  <c r="BA394" i="2"/>
  <c r="AZ394" i="2"/>
  <c r="AY394" i="2"/>
  <c r="AX394" i="2"/>
  <c r="AW394" i="2"/>
  <c r="AV394" i="2"/>
  <c r="AU394" i="2"/>
  <c r="BB393" i="2"/>
  <c r="BA393" i="2"/>
  <c r="AZ393" i="2"/>
  <c r="AY393" i="2"/>
  <c r="AX393" i="2"/>
  <c r="AW393" i="2"/>
  <c r="AV393" i="2"/>
  <c r="AU393" i="2"/>
  <c r="BB392" i="2"/>
  <c r="BA392" i="2"/>
  <c r="AZ392" i="2"/>
  <c r="AY392" i="2"/>
  <c r="AX392" i="2"/>
  <c r="AW392" i="2"/>
  <c r="AV392" i="2"/>
  <c r="AU392" i="2"/>
  <c r="BB391" i="2"/>
  <c r="BA391" i="2"/>
  <c r="AZ391" i="2"/>
  <c r="AY391" i="2"/>
  <c r="AX391" i="2"/>
  <c r="AW391" i="2"/>
  <c r="AV391" i="2"/>
  <c r="AU391" i="2"/>
  <c r="BB390" i="2"/>
  <c r="BA390" i="2"/>
  <c r="AZ390" i="2"/>
  <c r="AY390" i="2"/>
  <c r="AX390" i="2"/>
  <c r="AW390" i="2"/>
  <c r="AV390" i="2"/>
  <c r="AU390" i="2"/>
  <c r="BB389" i="2"/>
  <c r="BA389" i="2"/>
  <c r="AZ389" i="2"/>
  <c r="AY389" i="2"/>
  <c r="AX389" i="2"/>
  <c r="AW389" i="2"/>
  <c r="AV389" i="2"/>
  <c r="AU389" i="2"/>
  <c r="BB388" i="2"/>
  <c r="BA388" i="2"/>
  <c r="AZ388" i="2"/>
  <c r="AY388" i="2"/>
  <c r="AX388" i="2"/>
  <c r="AW388" i="2"/>
  <c r="AV388" i="2"/>
  <c r="AU388" i="2"/>
  <c r="BB387" i="2"/>
  <c r="BA387" i="2"/>
  <c r="AZ387" i="2"/>
  <c r="AY387" i="2"/>
  <c r="AX387" i="2"/>
  <c r="AW387" i="2"/>
  <c r="AV387" i="2"/>
  <c r="AU387" i="2"/>
  <c r="BB386" i="2"/>
  <c r="BA386" i="2"/>
  <c r="AZ386" i="2"/>
  <c r="AY386" i="2"/>
  <c r="AX386" i="2"/>
  <c r="AW386" i="2"/>
  <c r="AV386" i="2"/>
  <c r="AU386" i="2"/>
  <c r="BB385" i="2"/>
  <c r="BA385" i="2"/>
  <c r="AZ385" i="2"/>
  <c r="AY385" i="2"/>
  <c r="AX385" i="2"/>
  <c r="AW385" i="2"/>
  <c r="AV385" i="2"/>
  <c r="AU385" i="2"/>
  <c r="BB384" i="2"/>
  <c r="BA384" i="2"/>
  <c r="AZ384" i="2"/>
  <c r="AY384" i="2"/>
  <c r="AX384" i="2"/>
  <c r="AW384" i="2"/>
  <c r="AV384" i="2"/>
  <c r="AU384" i="2"/>
  <c r="BB383" i="2"/>
  <c r="BA383" i="2"/>
  <c r="AZ383" i="2"/>
  <c r="AY383" i="2"/>
  <c r="AX383" i="2"/>
  <c r="AW383" i="2"/>
  <c r="AV383" i="2"/>
  <c r="AU383" i="2"/>
  <c r="BB382" i="2"/>
  <c r="BA382" i="2"/>
  <c r="AZ382" i="2"/>
  <c r="AY382" i="2"/>
  <c r="AX382" i="2"/>
  <c r="AW382" i="2"/>
  <c r="AV382" i="2"/>
  <c r="AU382" i="2"/>
  <c r="BB381" i="2"/>
  <c r="BA381" i="2"/>
  <c r="AZ381" i="2"/>
  <c r="AY381" i="2"/>
  <c r="AX381" i="2"/>
  <c r="AW381" i="2"/>
  <c r="AV381" i="2"/>
  <c r="AU381" i="2"/>
  <c r="BB380" i="2"/>
  <c r="BA380" i="2"/>
  <c r="AZ380" i="2"/>
  <c r="AY380" i="2"/>
  <c r="AX380" i="2"/>
  <c r="AW380" i="2"/>
  <c r="AV380" i="2"/>
  <c r="AU380" i="2"/>
  <c r="BB379" i="2"/>
  <c r="BA379" i="2"/>
  <c r="AZ379" i="2"/>
  <c r="AY379" i="2"/>
  <c r="AX379" i="2"/>
  <c r="AW379" i="2"/>
  <c r="AV379" i="2"/>
  <c r="AU379" i="2"/>
  <c r="BB378" i="2"/>
  <c r="BA378" i="2"/>
  <c r="AZ378" i="2"/>
  <c r="AY378" i="2"/>
  <c r="AX378" i="2"/>
  <c r="AW378" i="2"/>
  <c r="AV378" i="2"/>
  <c r="AU378" i="2"/>
  <c r="BB377" i="2"/>
  <c r="BA377" i="2"/>
  <c r="AZ377" i="2"/>
  <c r="AY377" i="2"/>
  <c r="AX377" i="2"/>
  <c r="AW377" i="2"/>
  <c r="AV377" i="2"/>
  <c r="AU377" i="2"/>
  <c r="BB376" i="2"/>
  <c r="BA376" i="2"/>
  <c r="AZ376" i="2"/>
  <c r="AY376" i="2"/>
  <c r="AX376" i="2"/>
  <c r="AW376" i="2"/>
  <c r="AV376" i="2"/>
  <c r="AU376" i="2"/>
  <c r="BB375" i="2"/>
  <c r="BA375" i="2"/>
  <c r="AZ375" i="2"/>
  <c r="AY375" i="2"/>
  <c r="AX375" i="2"/>
  <c r="AW375" i="2"/>
  <c r="AV375" i="2"/>
  <c r="AU375" i="2"/>
  <c r="BB374" i="2"/>
  <c r="BA374" i="2"/>
  <c r="AZ374" i="2"/>
  <c r="AY374" i="2"/>
  <c r="AX374" i="2"/>
  <c r="AW374" i="2"/>
  <c r="AV374" i="2"/>
  <c r="AU374" i="2"/>
  <c r="BB373" i="2"/>
  <c r="BA373" i="2"/>
  <c r="AZ373" i="2"/>
  <c r="AY373" i="2"/>
  <c r="AX373" i="2"/>
  <c r="AW373" i="2"/>
  <c r="AV373" i="2"/>
  <c r="AU373" i="2"/>
  <c r="BB372" i="2"/>
  <c r="BA372" i="2"/>
  <c r="AZ372" i="2"/>
  <c r="AY372" i="2"/>
  <c r="AX372" i="2"/>
  <c r="AW372" i="2"/>
  <c r="AV372" i="2"/>
  <c r="AU372" i="2"/>
  <c r="BB371" i="2"/>
  <c r="BA371" i="2"/>
  <c r="AZ371" i="2"/>
  <c r="AY371" i="2"/>
  <c r="AX371" i="2"/>
  <c r="AW371" i="2"/>
  <c r="AV371" i="2"/>
  <c r="AU371" i="2"/>
  <c r="BB370" i="2"/>
  <c r="BA370" i="2"/>
  <c r="AZ370" i="2"/>
  <c r="AY370" i="2"/>
  <c r="AX370" i="2"/>
  <c r="AW370" i="2"/>
  <c r="AV370" i="2"/>
  <c r="AU370" i="2"/>
  <c r="BB369" i="2"/>
  <c r="BA369" i="2"/>
  <c r="AZ369" i="2"/>
  <c r="AY369" i="2"/>
  <c r="AX369" i="2"/>
  <c r="AW369" i="2"/>
  <c r="AV369" i="2"/>
  <c r="AU369" i="2"/>
  <c r="BB368" i="2"/>
  <c r="BA368" i="2"/>
  <c r="AZ368" i="2"/>
  <c r="AY368" i="2"/>
  <c r="AX368" i="2"/>
  <c r="AW368" i="2"/>
  <c r="AV368" i="2"/>
  <c r="AU368" i="2"/>
  <c r="BB367" i="2"/>
  <c r="BA367" i="2"/>
  <c r="AZ367" i="2"/>
  <c r="AY367" i="2"/>
  <c r="AX367" i="2"/>
  <c r="AW367" i="2"/>
  <c r="AV367" i="2"/>
  <c r="AU367" i="2"/>
  <c r="BB366" i="2"/>
  <c r="BA366" i="2"/>
  <c r="AZ366" i="2"/>
  <c r="AY366" i="2"/>
  <c r="AX366" i="2"/>
  <c r="AW366" i="2"/>
  <c r="AV366" i="2"/>
  <c r="AU366" i="2"/>
  <c r="BB365" i="2"/>
  <c r="BA365" i="2"/>
  <c r="AZ365" i="2"/>
  <c r="AY365" i="2"/>
  <c r="AX365" i="2"/>
  <c r="AW365" i="2"/>
  <c r="AV365" i="2"/>
  <c r="AU365" i="2"/>
  <c r="BB364" i="2"/>
  <c r="BA364" i="2"/>
  <c r="AZ364" i="2"/>
  <c r="AY364" i="2"/>
  <c r="AX364" i="2"/>
  <c r="AW364" i="2"/>
  <c r="AV364" i="2"/>
  <c r="AU364" i="2"/>
  <c r="BB363" i="2"/>
  <c r="BA363" i="2"/>
  <c r="AZ363" i="2"/>
  <c r="AY363" i="2"/>
  <c r="AX363" i="2"/>
  <c r="AW363" i="2"/>
  <c r="AV363" i="2"/>
  <c r="AU363" i="2"/>
  <c r="BB362" i="2"/>
  <c r="BA362" i="2"/>
  <c r="AZ362" i="2"/>
  <c r="AY362" i="2"/>
  <c r="AX362" i="2"/>
  <c r="AW362" i="2"/>
  <c r="AV362" i="2"/>
  <c r="AU362" i="2"/>
  <c r="BB361" i="2"/>
  <c r="BA361" i="2"/>
  <c r="AZ361" i="2"/>
  <c r="AY361" i="2"/>
  <c r="AX361" i="2"/>
  <c r="AW361" i="2"/>
  <c r="AV361" i="2"/>
  <c r="AU361" i="2"/>
  <c r="BB360" i="2"/>
  <c r="BA360" i="2"/>
  <c r="AZ360" i="2"/>
  <c r="AY360" i="2"/>
  <c r="AX360" i="2"/>
  <c r="AW360" i="2"/>
  <c r="AV360" i="2"/>
  <c r="AU360" i="2"/>
  <c r="BB359" i="2"/>
  <c r="BA359" i="2"/>
  <c r="AZ359" i="2"/>
  <c r="AY359" i="2"/>
  <c r="AX359" i="2"/>
  <c r="AW359" i="2"/>
  <c r="AV359" i="2"/>
  <c r="AU359" i="2"/>
  <c r="BB358" i="2"/>
  <c r="BA358" i="2"/>
  <c r="AZ358" i="2"/>
  <c r="AY358" i="2"/>
  <c r="AX358" i="2"/>
  <c r="AW358" i="2"/>
  <c r="AV358" i="2"/>
  <c r="AU358" i="2"/>
  <c r="BB357" i="2"/>
  <c r="BA357" i="2"/>
  <c r="AZ357" i="2"/>
  <c r="AY357" i="2"/>
  <c r="AX357" i="2"/>
  <c r="AW357" i="2"/>
  <c r="AV357" i="2"/>
  <c r="AU357" i="2"/>
  <c r="BB356" i="2"/>
  <c r="BA356" i="2"/>
  <c r="AZ356" i="2"/>
  <c r="AY356" i="2"/>
  <c r="AX356" i="2"/>
  <c r="AW356" i="2"/>
  <c r="AV356" i="2"/>
  <c r="AU356" i="2"/>
  <c r="BB355" i="2"/>
  <c r="BA355" i="2"/>
  <c r="AZ355" i="2"/>
  <c r="AY355" i="2"/>
  <c r="AX355" i="2"/>
  <c r="AW355" i="2"/>
  <c r="AV355" i="2"/>
  <c r="AU355" i="2"/>
  <c r="BB354" i="2"/>
  <c r="BA354" i="2"/>
  <c r="AZ354" i="2"/>
  <c r="AY354" i="2"/>
  <c r="AX354" i="2"/>
  <c r="AW354" i="2"/>
  <c r="AV354" i="2"/>
  <c r="AU354" i="2"/>
  <c r="BB353" i="2"/>
  <c r="BA353" i="2"/>
  <c r="AZ353" i="2"/>
  <c r="AY353" i="2"/>
  <c r="AX353" i="2"/>
  <c r="AW353" i="2"/>
  <c r="AV353" i="2"/>
  <c r="AU353" i="2"/>
  <c r="BB352" i="2"/>
  <c r="BA352" i="2"/>
  <c r="AZ352" i="2"/>
  <c r="AY352" i="2"/>
  <c r="AX352" i="2"/>
  <c r="AW352" i="2"/>
  <c r="AV352" i="2"/>
  <c r="AU352" i="2"/>
  <c r="BB351" i="2"/>
  <c r="BA351" i="2"/>
  <c r="AZ351" i="2"/>
  <c r="AY351" i="2"/>
  <c r="AX351" i="2"/>
  <c r="AW351" i="2"/>
  <c r="AV351" i="2"/>
  <c r="AU351" i="2"/>
  <c r="BB350" i="2"/>
  <c r="BA350" i="2"/>
  <c r="AZ350" i="2"/>
  <c r="AY350" i="2"/>
  <c r="AX350" i="2"/>
  <c r="AW350" i="2"/>
  <c r="AV350" i="2"/>
  <c r="AU350" i="2"/>
  <c r="BB349" i="2"/>
  <c r="BA349" i="2"/>
  <c r="AZ349" i="2"/>
  <c r="AY349" i="2"/>
  <c r="AX349" i="2"/>
  <c r="AW349" i="2"/>
  <c r="AV349" i="2"/>
  <c r="AU349" i="2"/>
  <c r="BB348" i="2"/>
  <c r="BA348" i="2"/>
  <c r="AZ348" i="2"/>
  <c r="AY348" i="2"/>
  <c r="AX348" i="2"/>
  <c r="AW348" i="2"/>
  <c r="AV348" i="2"/>
  <c r="AU348" i="2"/>
  <c r="BB347" i="2"/>
  <c r="BA347" i="2"/>
  <c r="AZ347" i="2"/>
  <c r="AY347" i="2"/>
  <c r="AX347" i="2"/>
  <c r="AW347" i="2"/>
  <c r="AV347" i="2"/>
  <c r="AU347" i="2"/>
  <c r="BB346" i="2"/>
  <c r="BA346" i="2"/>
  <c r="AZ346" i="2"/>
  <c r="AY346" i="2"/>
  <c r="AX346" i="2"/>
  <c r="AW346" i="2"/>
  <c r="AV346" i="2"/>
  <c r="AU346" i="2"/>
  <c r="BB345" i="2"/>
  <c r="BA345" i="2"/>
  <c r="AZ345" i="2"/>
  <c r="AY345" i="2"/>
  <c r="AX345" i="2"/>
  <c r="AW345" i="2"/>
  <c r="AV345" i="2"/>
  <c r="AU345" i="2"/>
  <c r="BB344" i="2"/>
  <c r="BA344" i="2"/>
  <c r="AZ344" i="2"/>
  <c r="AY344" i="2"/>
  <c r="AX344" i="2"/>
  <c r="AW344" i="2"/>
  <c r="AV344" i="2"/>
  <c r="AU344" i="2"/>
  <c r="BB343" i="2"/>
  <c r="BA343" i="2"/>
  <c r="AZ343" i="2"/>
  <c r="AY343" i="2"/>
  <c r="AX343" i="2"/>
  <c r="AW343" i="2"/>
  <c r="AV343" i="2"/>
  <c r="AU343" i="2"/>
  <c r="BB342" i="2"/>
  <c r="BA342" i="2"/>
  <c r="AZ342" i="2"/>
  <c r="AY342" i="2"/>
  <c r="AX342" i="2"/>
  <c r="AW342" i="2"/>
  <c r="AV342" i="2"/>
  <c r="AU342" i="2"/>
  <c r="BB341" i="2"/>
  <c r="BA341" i="2"/>
  <c r="AZ341" i="2"/>
  <c r="AY341" i="2"/>
  <c r="AX341" i="2"/>
  <c r="AW341" i="2"/>
  <c r="AV341" i="2"/>
  <c r="AU341" i="2"/>
  <c r="BB340" i="2"/>
  <c r="BA340" i="2"/>
  <c r="AZ340" i="2"/>
  <c r="AY340" i="2"/>
  <c r="AX340" i="2"/>
  <c r="AW340" i="2"/>
  <c r="AV340" i="2"/>
  <c r="AU340" i="2"/>
  <c r="BB339" i="2"/>
  <c r="BA339" i="2"/>
  <c r="AZ339" i="2"/>
  <c r="AY339" i="2"/>
  <c r="AX339" i="2"/>
  <c r="AW339" i="2"/>
  <c r="AV339" i="2"/>
  <c r="AU339" i="2"/>
  <c r="BB338" i="2"/>
  <c r="BA338" i="2"/>
  <c r="AZ338" i="2"/>
  <c r="AY338" i="2"/>
  <c r="AX338" i="2"/>
  <c r="AW338" i="2"/>
  <c r="AV338" i="2"/>
  <c r="AU338" i="2"/>
  <c r="BB337" i="2"/>
  <c r="BA337" i="2"/>
  <c r="AZ337" i="2"/>
  <c r="AY337" i="2"/>
  <c r="AX337" i="2"/>
  <c r="AW337" i="2"/>
  <c r="AV337" i="2"/>
  <c r="AU337" i="2"/>
  <c r="BB336" i="2"/>
  <c r="BA336" i="2"/>
  <c r="AZ336" i="2"/>
  <c r="AY336" i="2"/>
  <c r="AX336" i="2"/>
  <c r="AW336" i="2"/>
  <c r="AV336" i="2"/>
  <c r="AU336" i="2"/>
  <c r="BB335" i="2"/>
  <c r="BA335" i="2"/>
  <c r="AZ335" i="2"/>
  <c r="AY335" i="2"/>
  <c r="AX335" i="2"/>
  <c r="AW335" i="2"/>
  <c r="AV335" i="2"/>
  <c r="AU335" i="2"/>
  <c r="BB334" i="2"/>
  <c r="BA334" i="2"/>
  <c r="AZ334" i="2"/>
  <c r="AY334" i="2"/>
  <c r="AX334" i="2"/>
  <c r="AW334" i="2"/>
  <c r="AV334" i="2"/>
  <c r="AU334" i="2"/>
  <c r="BB333" i="2"/>
  <c r="BA333" i="2"/>
  <c r="AZ333" i="2"/>
  <c r="AY333" i="2"/>
  <c r="AX333" i="2"/>
  <c r="AW333" i="2"/>
  <c r="AV333" i="2"/>
  <c r="AU333" i="2"/>
  <c r="BB332" i="2"/>
  <c r="BA332" i="2"/>
  <c r="AZ332" i="2"/>
  <c r="AY332" i="2"/>
  <c r="AX332" i="2"/>
  <c r="AW332" i="2"/>
  <c r="AV332" i="2"/>
  <c r="AU332" i="2"/>
  <c r="BB331" i="2"/>
  <c r="BA331" i="2"/>
  <c r="AZ331" i="2"/>
  <c r="AY331" i="2"/>
  <c r="AX331" i="2"/>
  <c r="AW331" i="2"/>
  <c r="AV331" i="2"/>
  <c r="AU331" i="2"/>
  <c r="BB330" i="2"/>
  <c r="BA330" i="2"/>
  <c r="AZ330" i="2"/>
  <c r="AY330" i="2"/>
  <c r="AX330" i="2"/>
  <c r="AW330" i="2"/>
  <c r="AV330" i="2"/>
  <c r="AU330" i="2"/>
  <c r="BB329" i="2"/>
  <c r="BA329" i="2"/>
  <c r="AZ329" i="2"/>
  <c r="AY329" i="2"/>
  <c r="AX329" i="2"/>
  <c r="AW329" i="2"/>
  <c r="AV329" i="2"/>
  <c r="AU329" i="2"/>
  <c r="BB328" i="2"/>
  <c r="BA328" i="2"/>
  <c r="AZ328" i="2"/>
  <c r="AY328" i="2"/>
  <c r="AX328" i="2"/>
  <c r="AW328" i="2"/>
  <c r="AV328" i="2"/>
  <c r="AU328" i="2"/>
  <c r="BB327" i="2"/>
  <c r="BA327" i="2"/>
  <c r="AZ327" i="2"/>
  <c r="AY327" i="2"/>
  <c r="AX327" i="2"/>
  <c r="AW327" i="2"/>
  <c r="AV327" i="2"/>
  <c r="AU327" i="2"/>
  <c r="BB326" i="2"/>
  <c r="BA326" i="2"/>
  <c r="AZ326" i="2"/>
  <c r="AY326" i="2"/>
  <c r="AX326" i="2"/>
  <c r="AW326" i="2"/>
  <c r="AV326" i="2"/>
  <c r="AU326" i="2"/>
  <c r="BB325" i="2"/>
  <c r="BA325" i="2"/>
  <c r="AZ325" i="2"/>
  <c r="AY325" i="2"/>
  <c r="AX325" i="2"/>
  <c r="AW325" i="2"/>
  <c r="AV325" i="2"/>
  <c r="AU325" i="2"/>
  <c r="BB324" i="2"/>
  <c r="BA324" i="2"/>
  <c r="AZ324" i="2"/>
  <c r="AY324" i="2"/>
  <c r="AX324" i="2"/>
  <c r="AW324" i="2"/>
  <c r="AV324" i="2"/>
  <c r="AU324" i="2"/>
  <c r="BB323" i="2"/>
  <c r="BA323" i="2"/>
  <c r="AZ323" i="2"/>
  <c r="AY323" i="2"/>
  <c r="AX323" i="2"/>
  <c r="AW323" i="2"/>
  <c r="AV323" i="2"/>
  <c r="AU323" i="2"/>
  <c r="BB322" i="2"/>
  <c r="BA322" i="2"/>
  <c r="AZ322" i="2"/>
  <c r="AY322" i="2"/>
  <c r="AX322" i="2"/>
  <c r="AW322" i="2"/>
  <c r="AV322" i="2"/>
  <c r="AU322" i="2"/>
  <c r="BB321" i="2"/>
  <c r="BA321" i="2"/>
  <c r="AZ321" i="2"/>
  <c r="AY321" i="2"/>
  <c r="AX321" i="2"/>
  <c r="AW321" i="2"/>
  <c r="AV321" i="2"/>
  <c r="AU321" i="2"/>
  <c r="BB320" i="2"/>
  <c r="BA320" i="2"/>
  <c r="AZ320" i="2"/>
  <c r="AY320" i="2"/>
  <c r="AX320" i="2"/>
  <c r="AW320" i="2"/>
  <c r="AV320" i="2"/>
  <c r="AU320" i="2"/>
  <c r="BB319" i="2"/>
  <c r="BA319" i="2"/>
  <c r="AZ319" i="2"/>
  <c r="AY319" i="2"/>
  <c r="AX319" i="2"/>
  <c r="AW319" i="2"/>
  <c r="AV319" i="2"/>
  <c r="AU319" i="2"/>
  <c r="BB318" i="2"/>
  <c r="BA318" i="2"/>
  <c r="AZ318" i="2"/>
  <c r="AY318" i="2"/>
  <c r="AX318" i="2"/>
  <c r="AW318" i="2"/>
  <c r="AV318" i="2"/>
  <c r="AU318" i="2"/>
  <c r="BB317" i="2"/>
  <c r="BA317" i="2"/>
  <c r="AZ317" i="2"/>
  <c r="AY317" i="2"/>
  <c r="AX317" i="2"/>
  <c r="AW317" i="2"/>
  <c r="AV317" i="2"/>
  <c r="AU317" i="2"/>
  <c r="BB316" i="2"/>
  <c r="BA316" i="2"/>
  <c r="AZ316" i="2"/>
  <c r="AY316" i="2"/>
  <c r="AX316" i="2"/>
  <c r="AW316" i="2"/>
  <c r="AV316" i="2"/>
  <c r="AU316" i="2"/>
  <c r="BB315" i="2"/>
  <c r="BA315" i="2"/>
  <c r="AZ315" i="2"/>
  <c r="AY315" i="2"/>
  <c r="AX315" i="2"/>
  <c r="AW315" i="2"/>
  <c r="AV315" i="2"/>
  <c r="AU315" i="2"/>
  <c r="BB314" i="2"/>
  <c r="BA314" i="2"/>
  <c r="AZ314" i="2"/>
  <c r="AY314" i="2"/>
  <c r="AX314" i="2"/>
  <c r="AW314" i="2"/>
  <c r="AV314" i="2"/>
  <c r="AU314" i="2"/>
  <c r="BB313" i="2"/>
  <c r="BA313" i="2"/>
  <c r="AZ313" i="2"/>
  <c r="AY313" i="2"/>
  <c r="AX313" i="2"/>
  <c r="AW313" i="2"/>
  <c r="AV313" i="2"/>
  <c r="AU313" i="2"/>
  <c r="BB312" i="2"/>
  <c r="BA312" i="2"/>
  <c r="AZ312" i="2"/>
  <c r="AY312" i="2"/>
  <c r="AX312" i="2"/>
  <c r="AW312" i="2"/>
  <c r="AV312" i="2"/>
  <c r="AU312" i="2"/>
  <c r="BB311" i="2"/>
  <c r="BA311" i="2"/>
  <c r="AZ311" i="2"/>
  <c r="AY311" i="2"/>
  <c r="AX311" i="2"/>
  <c r="AW311" i="2"/>
  <c r="AV311" i="2"/>
  <c r="AU311" i="2"/>
  <c r="BB310" i="2"/>
  <c r="BA310" i="2"/>
  <c r="AZ310" i="2"/>
  <c r="AY310" i="2"/>
  <c r="AX310" i="2"/>
  <c r="AW310" i="2"/>
  <c r="AV310" i="2"/>
  <c r="AU310" i="2"/>
  <c r="BB309" i="2"/>
  <c r="BA309" i="2"/>
  <c r="AZ309" i="2"/>
  <c r="AY309" i="2"/>
  <c r="AX309" i="2"/>
  <c r="AW309" i="2"/>
  <c r="AV309" i="2"/>
  <c r="AU309" i="2"/>
  <c r="BB308" i="2"/>
  <c r="BA308" i="2"/>
  <c r="AZ308" i="2"/>
  <c r="AY308" i="2"/>
  <c r="AX308" i="2"/>
  <c r="AW308" i="2"/>
  <c r="AV308" i="2"/>
  <c r="AU308" i="2"/>
  <c r="BB307" i="2"/>
  <c r="BA307" i="2"/>
  <c r="AZ307" i="2"/>
  <c r="AY307" i="2"/>
  <c r="AX307" i="2"/>
  <c r="AW307" i="2"/>
  <c r="AV307" i="2"/>
  <c r="AU307" i="2"/>
  <c r="BB306" i="2"/>
  <c r="BA306" i="2"/>
  <c r="AZ306" i="2"/>
  <c r="AY306" i="2"/>
  <c r="AX306" i="2"/>
  <c r="AW306" i="2"/>
  <c r="AV306" i="2"/>
  <c r="AU306" i="2"/>
  <c r="BB305" i="2"/>
  <c r="BA305" i="2"/>
  <c r="AZ305" i="2"/>
  <c r="AY305" i="2"/>
  <c r="AX305" i="2"/>
  <c r="AW305" i="2"/>
  <c r="AV305" i="2"/>
  <c r="AU305" i="2"/>
  <c r="BB304" i="2"/>
  <c r="BA304" i="2"/>
  <c r="AZ304" i="2"/>
  <c r="AY304" i="2"/>
  <c r="AX304" i="2"/>
  <c r="AW304" i="2"/>
  <c r="AV304" i="2"/>
  <c r="AU304" i="2"/>
  <c r="BB303" i="2"/>
  <c r="BA303" i="2"/>
  <c r="AZ303" i="2"/>
  <c r="AY303" i="2"/>
  <c r="AX303" i="2"/>
  <c r="AW303" i="2"/>
  <c r="AV303" i="2"/>
  <c r="AU303" i="2"/>
  <c r="BB302" i="2"/>
  <c r="BA302" i="2"/>
  <c r="AZ302" i="2"/>
  <c r="AY302" i="2"/>
  <c r="AX302" i="2"/>
  <c r="AW302" i="2"/>
  <c r="AV302" i="2"/>
  <c r="AU302" i="2"/>
  <c r="BB301" i="2"/>
  <c r="BA301" i="2"/>
  <c r="AZ301" i="2"/>
  <c r="AY301" i="2"/>
  <c r="AX301" i="2"/>
  <c r="AW301" i="2"/>
  <c r="AV301" i="2"/>
  <c r="AU301" i="2"/>
  <c r="BB300" i="2"/>
  <c r="BA300" i="2"/>
  <c r="AZ300" i="2"/>
  <c r="AY300" i="2"/>
  <c r="AX300" i="2"/>
  <c r="AW300" i="2"/>
  <c r="AV300" i="2"/>
  <c r="AU300" i="2"/>
  <c r="BB299" i="2"/>
  <c r="BA299" i="2"/>
  <c r="AZ299" i="2"/>
  <c r="AY299" i="2"/>
  <c r="AX299" i="2"/>
  <c r="AW299" i="2"/>
  <c r="AV299" i="2"/>
  <c r="AU299" i="2"/>
  <c r="BB298" i="2"/>
  <c r="BA298" i="2"/>
  <c r="AZ298" i="2"/>
  <c r="AY298" i="2"/>
  <c r="AX298" i="2"/>
  <c r="AW298" i="2"/>
  <c r="AV298" i="2"/>
  <c r="AU298" i="2"/>
  <c r="BB297" i="2"/>
  <c r="BA297" i="2"/>
  <c r="AZ297" i="2"/>
  <c r="AY297" i="2"/>
  <c r="AX297" i="2"/>
  <c r="AW297" i="2"/>
  <c r="AV297" i="2"/>
  <c r="AU297" i="2"/>
  <c r="BB296" i="2"/>
  <c r="BA296" i="2"/>
  <c r="AZ296" i="2"/>
  <c r="AY296" i="2"/>
  <c r="AX296" i="2"/>
  <c r="AW296" i="2"/>
  <c r="AV296" i="2"/>
  <c r="AU296" i="2"/>
  <c r="BB295" i="2"/>
  <c r="BA295" i="2"/>
  <c r="AZ295" i="2"/>
  <c r="AY295" i="2"/>
  <c r="AX295" i="2"/>
  <c r="AW295" i="2"/>
  <c r="AV295" i="2"/>
  <c r="AU295" i="2"/>
  <c r="BB294" i="2"/>
  <c r="BA294" i="2"/>
  <c r="AZ294" i="2"/>
  <c r="AY294" i="2"/>
  <c r="AX294" i="2"/>
  <c r="AW294" i="2"/>
  <c r="AV294" i="2"/>
  <c r="AU294" i="2"/>
  <c r="BB293" i="2"/>
  <c r="BA293" i="2"/>
  <c r="AZ293" i="2"/>
  <c r="AY293" i="2"/>
  <c r="AX293" i="2"/>
  <c r="AW293" i="2"/>
  <c r="AV293" i="2"/>
  <c r="AU293" i="2"/>
  <c r="BB292" i="2"/>
  <c r="BA292" i="2"/>
  <c r="AZ292" i="2"/>
  <c r="AY292" i="2"/>
  <c r="AX292" i="2"/>
  <c r="AW292" i="2"/>
  <c r="AV292" i="2"/>
  <c r="AU292" i="2"/>
  <c r="BB291" i="2"/>
  <c r="BA291" i="2"/>
  <c r="AZ291" i="2"/>
  <c r="AY291" i="2"/>
  <c r="AX291" i="2"/>
  <c r="AW291" i="2"/>
  <c r="AV291" i="2"/>
  <c r="AU291" i="2"/>
  <c r="BB290" i="2"/>
  <c r="BA290" i="2"/>
  <c r="AZ290" i="2"/>
  <c r="AY290" i="2"/>
  <c r="AX290" i="2"/>
  <c r="AW290" i="2"/>
  <c r="AV290" i="2"/>
  <c r="AU290" i="2"/>
  <c r="BB289" i="2"/>
  <c r="BA289" i="2"/>
  <c r="AZ289" i="2"/>
  <c r="AY289" i="2"/>
  <c r="AX289" i="2"/>
  <c r="AW289" i="2"/>
  <c r="AV289" i="2"/>
  <c r="AU289" i="2"/>
  <c r="BB288" i="2"/>
  <c r="BA288" i="2"/>
  <c r="AZ288" i="2"/>
  <c r="AY288" i="2"/>
  <c r="AX288" i="2"/>
  <c r="AW288" i="2"/>
  <c r="AV288" i="2"/>
  <c r="AU288" i="2"/>
  <c r="BB287" i="2"/>
  <c r="BA287" i="2"/>
  <c r="AZ287" i="2"/>
  <c r="AY287" i="2"/>
  <c r="AX287" i="2"/>
  <c r="AW287" i="2"/>
  <c r="AV287" i="2"/>
  <c r="AU287" i="2"/>
  <c r="BB286" i="2"/>
  <c r="BA286" i="2"/>
  <c r="AZ286" i="2"/>
  <c r="AY286" i="2"/>
  <c r="AX286" i="2"/>
  <c r="AW286" i="2"/>
  <c r="AV286" i="2"/>
  <c r="AU286" i="2"/>
  <c r="BB285" i="2"/>
  <c r="BA285" i="2"/>
  <c r="AZ285" i="2"/>
  <c r="AY285" i="2"/>
  <c r="AX285" i="2"/>
  <c r="AW285" i="2"/>
  <c r="AV285" i="2"/>
  <c r="AU285" i="2"/>
  <c r="BB284" i="2"/>
  <c r="BA284" i="2"/>
  <c r="AZ284" i="2"/>
  <c r="AY284" i="2"/>
  <c r="AX284" i="2"/>
  <c r="AW284" i="2"/>
  <c r="AV284" i="2"/>
  <c r="AU284" i="2"/>
  <c r="BB283" i="2"/>
  <c r="BA283" i="2"/>
  <c r="AZ283" i="2"/>
  <c r="AY283" i="2"/>
  <c r="AX283" i="2"/>
  <c r="AW283" i="2"/>
  <c r="AV283" i="2"/>
  <c r="AU283" i="2"/>
  <c r="BB282" i="2"/>
  <c r="BA282" i="2"/>
  <c r="AZ282" i="2"/>
  <c r="AY282" i="2"/>
  <c r="AX282" i="2"/>
  <c r="AW282" i="2"/>
  <c r="AV282" i="2"/>
  <c r="AU282" i="2"/>
  <c r="BB281" i="2"/>
  <c r="BA281" i="2"/>
  <c r="AZ281" i="2"/>
  <c r="AY281" i="2"/>
  <c r="AX281" i="2"/>
  <c r="AW281" i="2"/>
  <c r="AV281" i="2"/>
  <c r="AU281" i="2"/>
  <c r="BB280" i="2"/>
  <c r="BA280" i="2"/>
  <c r="AZ280" i="2"/>
  <c r="AY280" i="2"/>
  <c r="AX280" i="2"/>
  <c r="AW280" i="2"/>
  <c r="AV280" i="2"/>
  <c r="AU280" i="2"/>
  <c r="BB279" i="2"/>
  <c r="BA279" i="2"/>
  <c r="AZ279" i="2"/>
  <c r="AY279" i="2"/>
  <c r="AX279" i="2"/>
  <c r="AW279" i="2"/>
  <c r="AV279" i="2"/>
  <c r="AU279" i="2"/>
  <c r="BB278" i="2"/>
  <c r="BA278" i="2"/>
  <c r="AZ278" i="2"/>
  <c r="AY278" i="2"/>
  <c r="AX278" i="2"/>
  <c r="AW278" i="2"/>
  <c r="AV278" i="2"/>
  <c r="AU278" i="2"/>
  <c r="BB277" i="2"/>
  <c r="BA277" i="2"/>
  <c r="AZ277" i="2"/>
  <c r="AY277" i="2"/>
  <c r="AX277" i="2"/>
  <c r="AW277" i="2"/>
  <c r="AV277" i="2"/>
  <c r="AU277" i="2"/>
  <c r="BB276" i="2"/>
  <c r="BA276" i="2"/>
  <c r="AZ276" i="2"/>
  <c r="AY276" i="2"/>
  <c r="AX276" i="2"/>
  <c r="AW276" i="2"/>
  <c r="AV276" i="2"/>
  <c r="AU276" i="2"/>
  <c r="BB275" i="2"/>
  <c r="BA275" i="2"/>
  <c r="AZ275" i="2"/>
  <c r="AY275" i="2"/>
  <c r="AX275" i="2"/>
  <c r="AW275" i="2"/>
  <c r="AV275" i="2"/>
  <c r="AU275" i="2"/>
  <c r="BB274" i="2"/>
  <c r="BA274" i="2"/>
  <c r="AZ274" i="2"/>
  <c r="AY274" i="2"/>
  <c r="AX274" i="2"/>
  <c r="AW274" i="2"/>
  <c r="AV274" i="2"/>
  <c r="AU274" i="2"/>
  <c r="BB273" i="2"/>
  <c r="BA273" i="2"/>
  <c r="AZ273" i="2"/>
  <c r="AY273" i="2"/>
  <c r="AX273" i="2"/>
  <c r="AW273" i="2"/>
  <c r="AV273" i="2"/>
  <c r="AU273" i="2"/>
  <c r="BB272" i="2"/>
  <c r="BA272" i="2"/>
  <c r="AZ272" i="2"/>
  <c r="AY272" i="2"/>
  <c r="AX272" i="2"/>
  <c r="AW272" i="2"/>
  <c r="AV272" i="2"/>
  <c r="AU272" i="2"/>
  <c r="BB271" i="2"/>
  <c r="BA271" i="2"/>
  <c r="AZ271" i="2"/>
  <c r="AY271" i="2"/>
  <c r="AX271" i="2"/>
  <c r="AW271" i="2"/>
  <c r="AV271" i="2"/>
  <c r="AU271" i="2"/>
  <c r="BB270" i="2"/>
  <c r="BA270" i="2"/>
  <c r="AZ270" i="2"/>
  <c r="AY270" i="2"/>
  <c r="AX270" i="2"/>
  <c r="AW270" i="2"/>
  <c r="AV270" i="2"/>
  <c r="AU270" i="2"/>
  <c r="BB269" i="2"/>
  <c r="BA269" i="2"/>
  <c r="AZ269" i="2"/>
  <c r="AY269" i="2"/>
  <c r="AX269" i="2"/>
  <c r="AW269" i="2"/>
  <c r="AV269" i="2"/>
  <c r="AU269" i="2"/>
  <c r="BB268" i="2"/>
  <c r="BA268" i="2"/>
  <c r="AZ268" i="2"/>
  <c r="AY268" i="2"/>
  <c r="AX268" i="2"/>
  <c r="AW268" i="2"/>
  <c r="AV268" i="2"/>
  <c r="AU268" i="2"/>
  <c r="BB267" i="2"/>
  <c r="BA267" i="2"/>
  <c r="AZ267" i="2"/>
  <c r="AY267" i="2"/>
  <c r="AX267" i="2"/>
  <c r="AW267" i="2"/>
  <c r="AV267" i="2"/>
  <c r="AU267" i="2"/>
  <c r="BB266" i="2"/>
  <c r="BA266" i="2"/>
  <c r="AZ266" i="2"/>
  <c r="AY266" i="2"/>
  <c r="AX266" i="2"/>
  <c r="AW266" i="2"/>
  <c r="AV266" i="2"/>
  <c r="AU266" i="2"/>
  <c r="BB265" i="2"/>
  <c r="BA265" i="2"/>
  <c r="AZ265" i="2"/>
  <c r="AY265" i="2"/>
  <c r="AX265" i="2"/>
  <c r="AW265" i="2"/>
  <c r="AV265" i="2"/>
  <c r="AU265" i="2"/>
  <c r="BB264" i="2"/>
  <c r="BA264" i="2"/>
  <c r="AZ264" i="2"/>
  <c r="AY264" i="2"/>
  <c r="AX264" i="2"/>
  <c r="AW264" i="2"/>
  <c r="AV264" i="2"/>
  <c r="AU264" i="2"/>
  <c r="BB263" i="2"/>
  <c r="BA263" i="2"/>
  <c r="AZ263" i="2"/>
  <c r="AY263" i="2"/>
  <c r="AX263" i="2"/>
  <c r="AW263" i="2"/>
  <c r="AV263" i="2"/>
  <c r="AU263" i="2"/>
  <c r="BB262" i="2"/>
  <c r="BA262" i="2"/>
  <c r="AZ262" i="2"/>
  <c r="AY262" i="2"/>
  <c r="AX262" i="2"/>
  <c r="AW262" i="2"/>
  <c r="AV262" i="2"/>
  <c r="AU262" i="2"/>
  <c r="BB261" i="2"/>
  <c r="BA261" i="2"/>
  <c r="AZ261" i="2"/>
  <c r="AY261" i="2"/>
  <c r="AX261" i="2"/>
  <c r="AW261" i="2"/>
  <c r="AV261" i="2"/>
  <c r="AU261" i="2"/>
  <c r="BB260" i="2"/>
  <c r="BA260" i="2"/>
  <c r="AZ260" i="2"/>
  <c r="AY260" i="2"/>
  <c r="AX260" i="2"/>
  <c r="AW260" i="2"/>
  <c r="AV260" i="2"/>
  <c r="AU260" i="2"/>
  <c r="BB259" i="2"/>
  <c r="BA259" i="2"/>
  <c r="AZ259" i="2"/>
  <c r="AY259" i="2"/>
  <c r="AX259" i="2"/>
  <c r="AW259" i="2"/>
  <c r="AV259" i="2"/>
  <c r="AU259" i="2"/>
  <c r="BB258" i="2"/>
  <c r="BA258" i="2"/>
  <c r="AZ258" i="2"/>
  <c r="AY258" i="2"/>
  <c r="AX258" i="2"/>
  <c r="AW258" i="2"/>
  <c r="AV258" i="2"/>
  <c r="AU258" i="2"/>
  <c r="BB257" i="2"/>
  <c r="BA257" i="2"/>
  <c r="AZ257" i="2"/>
  <c r="AY257" i="2"/>
  <c r="AX257" i="2"/>
  <c r="AW257" i="2"/>
  <c r="AV257" i="2"/>
  <c r="AU257" i="2"/>
  <c r="BB256" i="2"/>
  <c r="BA256" i="2"/>
  <c r="AZ256" i="2"/>
  <c r="AY256" i="2"/>
  <c r="AX256" i="2"/>
  <c r="AW256" i="2"/>
  <c r="AV256" i="2"/>
  <c r="AU256" i="2"/>
  <c r="BB255" i="2"/>
  <c r="BA255" i="2"/>
  <c r="AZ255" i="2"/>
  <c r="AY255" i="2"/>
  <c r="AX255" i="2"/>
  <c r="AW255" i="2"/>
  <c r="AV255" i="2"/>
  <c r="AU255" i="2"/>
  <c r="BB254" i="2"/>
  <c r="BA254" i="2"/>
  <c r="AZ254" i="2"/>
  <c r="AY254" i="2"/>
  <c r="AX254" i="2"/>
  <c r="AW254" i="2"/>
  <c r="AV254" i="2"/>
  <c r="AU254" i="2"/>
  <c r="BB253" i="2"/>
  <c r="BA253" i="2"/>
  <c r="AZ253" i="2"/>
  <c r="AY253" i="2"/>
  <c r="AX253" i="2"/>
  <c r="AW253" i="2"/>
  <c r="AV253" i="2"/>
  <c r="AU253" i="2"/>
  <c r="BB252" i="2"/>
  <c r="BA252" i="2"/>
  <c r="AZ252" i="2"/>
  <c r="AY252" i="2"/>
  <c r="AX252" i="2"/>
  <c r="AW252" i="2"/>
  <c r="AV252" i="2"/>
  <c r="AU252" i="2"/>
  <c r="BB251" i="2"/>
  <c r="BA251" i="2"/>
  <c r="AZ251" i="2"/>
  <c r="AY251" i="2"/>
  <c r="AX251" i="2"/>
  <c r="AW251" i="2"/>
  <c r="AV251" i="2"/>
  <c r="AU251" i="2"/>
  <c r="BB250" i="2"/>
  <c r="BA250" i="2"/>
  <c r="AZ250" i="2"/>
  <c r="AY250" i="2"/>
  <c r="AX250" i="2"/>
  <c r="AW250" i="2"/>
  <c r="AV250" i="2"/>
  <c r="AU250" i="2"/>
  <c r="BB249" i="2"/>
  <c r="BA249" i="2"/>
  <c r="AZ249" i="2"/>
  <c r="AY249" i="2"/>
  <c r="AX249" i="2"/>
  <c r="AW249" i="2"/>
  <c r="AV249" i="2"/>
  <c r="AU249" i="2"/>
  <c r="BB248" i="2"/>
  <c r="BA248" i="2"/>
  <c r="AZ248" i="2"/>
  <c r="AY248" i="2"/>
  <c r="AX248" i="2"/>
  <c r="AW248" i="2"/>
  <c r="AV248" i="2"/>
  <c r="AU248" i="2"/>
  <c r="BB247" i="2"/>
  <c r="BA247" i="2"/>
  <c r="AZ247" i="2"/>
  <c r="AY247" i="2"/>
  <c r="AX247" i="2"/>
  <c r="AW247" i="2"/>
  <c r="AV247" i="2"/>
  <c r="AU247" i="2"/>
  <c r="BB246" i="2"/>
  <c r="BA246" i="2"/>
  <c r="AZ246" i="2"/>
  <c r="AY246" i="2"/>
  <c r="AX246" i="2"/>
  <c r="AW246" i="2"/>
  <c r="AV246" i="2"/>
  <c r="AU246" i="2"/>
  <c r="BB245" i="2"/>
  <c r="BA245" i="2"/>
  <c r="AZ245" i="2"/>
  <c r="AY245" i="2"/>
  <c r="AX245" i="2"/>
  <c r="AW245" i="2"/>
  <c r="AV245" i="2"/>
  <c r="AU245" i="2"/>
  <c r="BB244" i="2"/>
  <c r="BA244" i="2"/>
  <c r="AZ244" i="2"/>
  <c r="AY244" i="2"/>
  <c r="AX244" i="2"/>
  <c r="AW244" i="2"/>
  <c r="AV244" i="2"/>
  <c r="AU244" i="2"/>
  <c r="BB243" i="2"/>
  <c r="BA243" i="2"/>
  <c r="AZ243" i="2"/>
  <c r="AY243" i="2"/>
  <c r="AX243" i="2"/>
  <c r="AW243" i="2"/>
  <c r="AV243" i="2"/>
  <c r="AU243" i="2"/>
  <c r="BB242" i="2"/>
  <c r="BA242" i="2"/>
  <c r="AZ242" i="2"/>
  <c r="AY242" i="2"/>
  <c r="AX242" i="2"/>
  <c r="AW242" i="2"/>
  <c r="AV242" i="2"/>
  <c r="AU242" i="2"/>
  <c r="BB241" i="2"/>
  <c r="BA241" i="2"/>
  <c r="AZ241" i="2"/>
  <c r="AY241" i="2"/>
  <c r="AX241" i="2"/>
  <c r="AW241" i="2"/>
  <c r="AV241" i="2"/>
  <c r="AU241" i="2"/>
  <c r="BB240" i="2"/>
  <c r="BA240" i="2"/>
  <c r="AZ240" i="2"/>
  <c r="AY240" i="2"/>
  <c r="AX240" i="2"/>
  <c r="AW240" i="2"/>
  <c r="AV240" i="2"/>
  <c r="AU240" i="2"/>
  <c r="BB239" i="2"/>
  <c r="BA239" i="2"/>
  <c r="AZ239" i="2"/>
  <c r="AY239" i="2"/>
  <c r="AX239" i="2"/>
  <c r="AW239" i="2"/>
  <c r="AV239" i="2"/>
  <c r="AU239" i="2"/>
  <c r="BB238" i="2"/>
  <c r="BA238" i="2"/>
  <c r="AZ238" i="2"/>
  <c r="AY238" i="2"/>
  <c r="AX238" i="2"/>
  <c r="AW238" i="2"/>
  <c r="AV238" i="2"/>
  <c r="AU238" i="2"/>
  <c r="BB237" i="2"/>
  <c r="BA237" i="2"/>
  <c r="AZ237" i="2"/>
  <c r="AY237" i="2"/>
  <c r="AX237" i="2"/>
  <c r="AW237" i="2"/>
  <c r="AV237" i="2"/>
  <c r="AU237" i="2"/>
  <c r="BB236" i="2"/>
  <c r="BA236" i="2"/>
  <c r="AZ236" i="2"/>
  <c r="AY236" i="2"/>
  <c r="AX236" i="2"/>
  <c r="AW236" i="2"/>
  <c r="AV236" i="2"/>
  <c r="AU236" i="2"/>
  <c r="BB235" i="2"/>
  <c r="BA235" i="2"/>
  <c r="AZ235" i="2"/>
  <c r="AY235" i="2"/>
  <c r="AX235" i="2"/>
  <c r="AW235" i="2"/>
  <c r="AV235" i="2"/>
  <c r="AU235" i="2"/>
  <c r="BB234" i="2"/>
  <c r="BA234" i="2"/>
  <c r="AZ234" i="2"/>
  <c r="AY234" i="2"/>
  <c r="AX234" i="2"/>
  <c r="AW234" i="2"/>
  <c r="AV234" i="2"/>
  <c r="AU234" i="2"/>
  <c r="BB233" i="2"/>
  <c r="BA233" i="2"/>
  <c r="AZ233" i="2"/>
  <c r="AY233" i="2"/>
  <c r="AX233" i="2"/>
  <c r="AW233" i="2"/>
  <c r="AV233" i="2"/>
  <c r="AU233" i="2"/>
  <c r="BB232" i="2"/>
  <c r="BA232" i="2"/>
  <c r="AZ232" i="2"/>
  <c r="AY232" i="2"/>
  <c r="AX232" i="2"/>
  <c r="AW232" i="2"/>
  <c r="AV232" i="2"/>
  <c r="AU232" i="2"/>
  <c r="BB231" i="2"/>
  <c r="BA231" i="2"/>
  <c r="AZ231" i="2"/>
  <c r="AY231" i="2"/>
  <c r="AX231" i="2"/>
  <c r="AW231" i="2"/>
  <c r="AV231" i="2"/>
  <c r="AU231" i="2"/>
  <c r="BB230" i="2"/>
  <c r="BA230" i="2"/>
  <c r="AZ230" i="2"/>
  <c r="AY230" i="2"/>
  <c r="AX230" i="2"/>
  <c r="AW230" i="2"/>
  <c r="AV230" i="2"/>
  <c r="AU230" i="2"/>
  <c r="BB229" i="2"/>
  <c r="BA229" i="2"/>
  <c r="AZ229" i="2"/>
  <c r="AY229" i="2"/>
  <c r="AX229" i="2"/>
  <c r="AW229" i="2"/>
  <c r="AV229" i="2"/>
  <c r="AU229" i="2"/>
  <c r="BB228" i="2"/>
  <c r="BA228" i="2"/>
  <c r="AZ228" i="2"/>
  <c r="AY228" i="2"/>
  <c r="AX228" i="2"/>
  <c r="AW228" i="2"/>
  <c r="AV228" i="2"/>
  <c r="AU228" i="2"/>
  <c r="BB227" i="2"/>
  <c r="BA227" i="2"/>
  <c r="AZ227" i="2"/>
  <c r="AY227" i="2"/>
  <c r="AX227" i="2"/>
  <c r="AW227" i="2"/>
  <c r="AV227" i="2"/>
  <c r="AU227" i="2"/>
  <c r="BB226" i="2"/>
  <c r="BA226" i="2"/>
  <c r="AZ226" i="2"/>
  <c r="AY226" i="2"/>
  <c r="AX226" i="2"/>
  <c r="AW226" i="2"/>
  <c r="AV226" i="2"/>
  <c r="AU226" i="2"/>
  <c r="BB225" i="2"/>
  <c r="BA225" i="2"/>
  <c r="AZ225" i="2"/>
  <c r="AY225" i="2"/>
  <c r="AX225" i="2"/>
  <c r="AW225" i="2"/>
  <c r="AV225" i="2"/>
  <c r="AU225" i="2"/>
  <c r="BB224" i="2"/>
  <c r="BA224" i="2"/>
  <c r="AZ224" i="2"/>
  <c r="AY224" i="2"/>
  <c r="AX224" i="2"/>
  <c r="AW224" i="2"/>
  <c r="AV224" i="2"/>
  <c r="AU224" i="2"/>
  <c r="BB223" i="2"/>
  <c r="BA223" i="2"/>
  <c r="AZ223" i="2"/>
  <c r="AY223" i="2"/>
  <c r="AX223" i="2"/>
  <c r="AW223" i="2"/>
  <c r="AV223" i="2"/>
  <c r="AU223" i="2"/>
  <c r="BB222" i="2"/>
  <c r="BA222" i="2"/>
  <c r="AZ222" i="2"/>
  <c r="AY222" i="2"/>
  <c r="AX222" i="2"/>
  <c r="AW222" i="2"/>
  <c r="AV222" i="2"/>
  <c r="AU222" i="2"/>
  <c r="BB221" i="2"/>
  <c r="BA221" i="2"/>
  <c r="AZ221" i="2"/>
  <c r="AY221" i="2"/>
  <c r="AX221" i="2"/>
  <c r="AW221" i="2"/>
  <c r="AV221" i="2"/>
  <c r="AU221" i="2"/>
  <c r="BB220" i="2"/>
  <c r="BA220" i="2"/>
  <c r="AZ220" i="2"/>
  <c r="AY220" i="2"/>
  <c r="AX220" i="2"/>
  <c r="AW220" i="2"/>
  <c r="AV220" i="2"/>
  <c r="AU220" i="2"/>
  <c r="BB219" i="2"/>
  <c r="BA219" i="2"/>
  <c r="AZ219" i="2"/>
  <c r="AY219" i="2"/>
  <c r="AX219" i="2"/>
  <c r="AW219" i="2"/>
  <c r="AV219" i="2"/>
  <c r="AU219" i="2"/>
  <c r="BB218" i="2"/>
  <c r="BA218" i="2"/>
  <c r="AZ218" i="2"/>
  <c r="AY218" i="2"/>
  <c r="AX218" i="2"/>
  <c r="AW218" i="2"/>
  <c r="AV218" i="2"/>
  <c r="AU218" i="2"/>
  <c r="BB217" i="2"/>
  <c r="BA217" i="2"/>
  <c r="AZ217" i="2"/>
  <c r="AY217" i="2"/>
  <c r="AX217" i="2"/>
  <c r="AW217" i="2"/>
  <c r="AV217" i="2"/>
  <c r="AU217" i="2"/>
  <c r="BB216" i="2"/>
  <c r="BA216" i="2"/>
  <c r="AZ216" i="2"/>
  <c r="AY216" i="2"/>
  <c r="AX216" i="2"/>
  <c r="AW216" i="2"/>
  <c r="AV216" i="2"/>
  <c r="AU216" i="2"/>
  <c r="BB215" i="2"/>
  <c r="BA215" i="2"/>
  <c r="AZ215" i="2"/>
  <c r="AY215" i="2"/>
  <c r="AX215" i="2"/>
  <c r="AW215" i="2"/>
  <c r="AV215" i="2"/>
  <c r="AU215" i="2"/>
  <c r="BB214" i="2"/>
  <c r="BA214" i="2"/>
  <c r="AZ214" i="2"/>
  <c r="AY214" i="2"/>
  <c r="AX214" i="2"/>
  <c r="AW214" i="2"/>
  <c r="AV214" i="2"/>
  <c r="AU214" i="2"/>
  <c r="BB213" i="2"/>
  <c r="BA213" i="2"/>
  <c r="AZ213" i="2"/>
  <c r="AY213" i="2"/>
  <c r="AX213" i="2"/>
  <c r="AW213" i="2"/>
  <c r="AV213" i="2"/>
  <c r="AU213" i="2"/>
  <c r="BB212" i="2"/>
  <c r="BA212" i="2"/>
  <c r="AZ212" i="2"/>
  <c r="AY212" i="2"/>
  <c r="AX212" i="2"/>
  <c r="AW212" i="2"/>
  <c r="AV212" i="2"/>
  <c r="AU212" i="2"/>
  <c r="BB211" i="2"/>
  <c r="BA211" i="2"/>
  <c r="AZ211" i="2"/>
  <c r="AY211" i="2"/>
  <c r="AX211" i="2"/>
  <c r="AW211" i="2"/>
  <c r="AV211" i="2"/>
  <c r="AU211" i="2"/>
  <c r="BB210" i="2"/>
  <c r="BA210" i="2"/>
  <c r="AZ210" i="2"/>
  <c r="AY210" i="2"/>
  <c r="AX210" i="2"/>
  <c r="AW210" i="2"/>
  <c r="AV210" i="2"/>
  <c r="AU210" i="2"/>
  <c r="BB209" i="2"/>
  <c r="BA209" i="2"/>
  <c r="AZ209" i="2"/>
  <c r="AY209" i="2"/>
  <c r="AX209" i="2"/>
  <c r="AW209" i="2"/>
  <c r="AV209" i="2"/>
  <c r="AU209" i="2"/>
  <c r="BB208" i="2"/>
  <c r="BA208" i="2"/>
  <c r="AZ208" i="2"/>
  <c r="AY208" i="2"/>
  <c r="AX208" i="2"/>
  <c r="AW208" i="2"/>
  <c r="AV208" i="2"/>
  <c r="AU208" i="2"/>
  <c r="BB207" i="2"/>
  <c r="BA207" i="2"/>
  <c r="AZ207" i="2"/>
  <c r="AY207" i="2"/>
  <c r="AX207" i="2"/>
  <c r="AW207" i="2"/>
  <c r="AV207" i="2"/>
  <c r="AU207" i="2"/>
  <c r="BB206" i="2"/>
  <c r="BA206" i="2"/>
  <c r="AZ206" i="2"/>
  <c r="AY206" i="2"/>
  <c r="AX206" i="2"/>
  <c r="AW206" i="2"/>
  <c r="AV206" i="2"/>
  <c r="AU206" i="2"/>
  <c r="BB205" i="2"/>
  <c r="BA205" i="2"/>
  <c r="AZ205" i="2"/>
  <c r="AY205" i="2"/>
  <c r="AX205" i="2"/>
  <c r="AW205" i="2"/>
  <c r="AV205" i="2"/>
  <c r="AU205" i="2"/>
  <c r="BB204" i="2"/>
  <c r="BA204" i="2"/>
  <c r="AZ204" i="2"/>
  <c r="AY204" i="2"/>
  <c r="AX204" i="2"/>
  <c r="AW204" i="2"/>
  <c r="AV204" i="2"/>
  <c r="AU204" i="2"/>
  <c r="BB203" i="2"/>
  <c r="BA203" i="2"/>
  <c r="AZ203" i="2"/>
  <c r="AY203" i="2"/>
  <c r="AX203" i="2"/>
  <c r="AW203" i="2"/>
  <c r="AV203" i="2"/>
  <c r="AU203" i="2"/>
  <c r="BB202" i="2"/>
  <c r="BA202" i="2"/>
  <c r="AZ202" i="2"/>
  <c r="AY202" i="2"/>
  <c r="AX202" i="2"/>
  <c r="AW202" i="2"/>
  <c r="AV202" i="2"/>
  <c r="AU202" i="2"/>
  <c r="BB201" i="2"/>
  <c r="BA201" i="2"/>
  <c r="AZ201" i="2"/>
  <c r="AY201" i="2"/>
  <c r="AX201" i="2"/>
  <c r="AW201" i="2"/>
  <c r="AV201" i="2"/>
  <c r="AU201" i="2"/>
  <c r="BB200" i="2"/>
  <c r="BA200" i="2"/>
  <c r="AZ200" i="2"/>
  <c r="AY200" i="2"/>
  <c r="AX200" i="2"/>
  <c r="AW200" i="2"/>
  <c r="AV200" i="2"/>
  <c r="AU200" i="2"/>
  <c r="BB199" i="2"/>
  <c r="BA199" i="2"/>
  <c r="AZ199" i="2"/>
  <c r="AY199" i="2"/>
  <c r="AX199" i="2"/>
  <c r="AW199" i="2"/>
  <c r="AV199" i="2"/>
  <c r="AU199" i="2"/>
  <c r="BB198" i="2"/>
  <c r="BA198" i="2"/>
  <c r="AZ198" i="2"/>
  <c r="AY198" i="2"/>
  <c r="AX198" i="2"/>
  <c r="AW198" i="2"/>
  <c r="AV198" i="2"/>
  <c r="AU198" i="2"/>
  <c r="BB197" i="2"/>
  <c r="BA197" i="2"/>
  <c r="AZ197" i="2"/>
  <c r="AY197" i="2"/>
  <c r="AX197" i="2"/>
  <c r="AW197" i="2"/>
  <c r="AV197" i="2"/>
  <c r="AU197" i="2"/>
  <c r="BB196" i="2"/>
  <c r="BA196" i="2"/>
  <c r="AZ196" i="2"/>
  <c r="AY196" i="2"/>
  <c r="AX196" i="2"/>
  <c r="AW196" i="2"/>
  <c r="AV196" i="2"/>
  <c r="AU196" i="2"/>
  <c r="BB195" i="2"/>
  <c r="BA195" i="2"/>
  <c r="AZ195" i="2"/>
  <c r="AY195" i="2"/>
  <c r="AX195" i="2"/>
  <c r="AW195" i="2"/>
  <c r="AV195" i="2"/>
  <c r="AU195" i="2"/>
  <c r="BB194" i="2"/>
  <c r="BA194" i="2"/>
  <c r="AZ194" i="2"/>
  <c r="AY194" i="2"/>
  <c r="AX194" i="2"/>
  <c r="AW194" i="2"/>
  <c r="AV194" i="2"/>
  <c r="AU194" i="2"/>
  <c r="BB193" i="2"/>
  <c r="BA193" i="2"/>
  <c r="AZ193" i="2"/>
  <c r="AY193" i="2"/>
  <c r="AX193" i="2"/>
  <c r="AW193" i="2"/>
  <c r="AV193" i="2"/>
  <c r="AU193" i="2"/>
  <c r="BB192" i="2"/>
  <c r="BA192" i="2"/>
  <c r="AZ192" i="2"/>
  <c r="AY192" i="2"/>
  <c r="AX192" i="2"/>
  <c r="AW192" i="2"/>
  <c r="AV192" i="2"/>
  <c r="AU192" i="2"/>
  <c r="BB191" i="2"/>
  <c r="BA191" i="2"/>
  <c r="AZ191" i="2"/>
  <c r="AY191" i="2"/>
  <c r="AX191" i="2"/>
  <c r="AW191" i="2"/>
  <c r="AV191" i="2"/>
  <c r="AU191" i="2"/>
  <c r="BB190" i="2"/>
  <c r="BA190" i="2"/>
  <c r="AZ190" i="2"/>
  <c r="AY190" i="2"/>
  <c r="AX190" i="2"/>
  <c r="AW190" i="2"/>
  <c r="AV190" i="2"/>
  <c r="AU190" i="2"/>
  <c r="BB189" i="2"/>
  <c r="BA189" i="2"/>
  <c r="AZ189" i="2"/>
  <c r="AY189" i="2"/>
  <c r="AX189" i="2"/>
  <c r="AW189" i="2"/>
  <c r="AV189" i="2"/>
  <c r="AU189" i="2"/>
  <c r="BB188" i="2"/>
  <c r="BA188" i="2"/>
  <c r="AZ188" i="2"/>
  <c r="AY188" i="2"/>
  <c r="AX188" i="2"/>
  <c r="AW188" i="2"/>
  <c r="AV188" i="2"/>
  <c r="AU188" i="2"/>
  <c r="BB187" i="2"/>
  <c r="BA187" i="2"/>
  <c r="AZ187" i="2"/>
  <c r="AY187" i="2"/>
  <c r="AX187" i="2"/>
  <c r="AW187" i="2"/>
  <c r="AV187" i="2"/>
  <c r="AU187" i="2"/>
  <c r="BB186" i="2"/>
  <c r="BA186" i="2"/>
  <c r="AZ186" i="2"/>
  <c r="AY186" i="2"/>
  <c r="AX186" i="2"/>
  <c r="AW186" i="2"/>
  <c r="AV186" i="2"/>
  <c r="AU186" i="2"/>
  <c r="BB185" i="2"/>
  <c r="BA185" i="2"/>
  <c r="AZ185" i="2"/>
  <c r="AY185" i="2"/>
  <c r="AX185" i="2"/>
  <c r="AW185" i="2"/>
  <c r="AV185" i="2"/>
  <c r="AU185" i="2"/>
  <c r="BB184" i="2"/>
  <c r="BA184" i="2"/>
  <c r="AZ184" i="2"/>
  <c r="AY184" i="2"/>
  <c r="AX184" i="2"/>
  <c r="AW184" i="2"/>
  <c r="AV184" i="2"/>
  <c r="AU184" i="2"/>
  <c r="BB183" i="2"/>
  <c r="BA183" i="2"/>
  <c r="AZ183" i="2"/>
  <c r="AY183" i="2"/>
  <c r="AX183" i="2"/>
  <c r="AW183" i="2"/>
  <c r="AV183" i="2"/>
  <c r="AU183" i="2"/>
  <c r="BB182" i="2"/>
  <c r="BA182" i="2"/>
  <c r="AZ182" i="2"/>
  <c r="AY182" i="2"/>
  <c r="AX182" i="2"/>
  <c r="AW182" i="2"/>
  <c r="AV182" i="2"/>
  <c r="AU182" i="2"/>
  <c r="BB181" i="2"/>
  <c r="BA181" i="2"/>
  <c r="AZ181" i="2"/>
  <c r="AY181" i="2"/>
  <c r="AX181" i="2"/>
  <c r="AW181" i="2"/>
  <c r="AV181" i="2"/>
  <c r="AU181" i="2"/>
  <c r="BB180" i="2"/>
  <c r="BA180" i="2"/>
  <c r="AZ180" i="2"/>
  <c r="AY180" i="2"/>
  <c r="AX180" i="2"/>
  <c r="AW180" i="2"/>
  <c r="AV180" i="2"/>
  <c r="AU180" i="2"/>
  <c r="BB179" i="2"/>
  <c r="BA179" i="2"/>
  <c r="AZ179" i="2"/>
  <c r="AY179" i="2"/>
  <c r="AX179" i="2"/>
  <c r="AW179" i="2"/>
  <c r="AV179" i="2"/>
  <c r="AU179" i="2"/>
  <c r="BB178" i="2"/>
  <c r="BA178" i="2"/>
  <c r="AZ178" i="2"/>
  <c r="AY178" i="2"/>
  <c r="AX178" i="2"/>
  <c r="AW178" i="2"/>
  <c r="AV178" i="2"/>
  <c r="AU178" i="2"/>
  <c r="BB177" i="2"/>
  <c r="BA177" i="2"/>
  <c r="AZ177" i="2"/>
  <c r="AY177" i="2"/>
  <c r="AX177" i="2"/>
  <c r="AW177" i="2"/>
  <c r="AV177" i="2"/>
  <c r="AU177" i="2"/>
  <c r="BB176" i="2"/>
  <c r="BA176" i="2"/>
  <c r="AZ176" i="2"/>
  <c r="AY176" i="2"/>
  <c r="AX176" i="2"/>
  <c r="AW176" i="2"/>
  <c r="AV176" i="2"/>
  <c r="AU176" i="2"/>
  <c r="BB175" i="2"/>
  <c r="BA175" i="2"/>
  <c r="AZ175" i="2"/>
  <c r="AY175" i="2"/>
  <c r="AX175" i="2"/>
  <c r="AW175" i="2"/>
  <c r="AV175" i="2"/>
  <c r="AU175" i="2"/>
  <c r="BB174" i="2"/>
  <c r="BA174" i="2"/>
  <c r="AZ174" i="2"/>
  <c r="AY174" i="2"/>
  <c r="AX174" i="2"/>
  <c r="AW174" i="2"/>
  <c r="AV174" i="2"/>
  <c r="AU174" i="2"/>
  <c r="BB173" i="2"/>
  <c r="BA173" i="2"/>
  <c r="AZ173" i="2"/>
  <c r="AY173" i="2"/>
  <c r="AX173" i="2"/>
  <c r="AW173" i="2"/>
  <c r="AV173" i="2"/>
  <c r="AU173" i="2"/>
  <c r="BB172" i="2"/>
  <c r="BA172" i="2"/>
  <c r="AZ172" i="2"/>
  <c r="AY172" i="2"/>
  <c r="AX172" i="2"/>
  <c r="AW172" i="2"/>
  <c r="AV172" i="2"/>
  <c r="AU172" i="2"/>
  <c r="BB171" i="2"/>
  <c r="BA171" i="2"/>
  <c r="AZ171" i="2"/>
  <c r="AY171" i="2"/>
  <c r="AX171" i="2"/>
  <c r="AW171" i="2"/>
  <c r="AV171" i="2"/>
  <c r="AU171" i="2"/>
  <c r="BB170" i="2"/>
  <c r="BA170" i="2"/>
  <c r="AZ170" i="2"/>
  <c r="AY170" i="2"/>
  <c r="AX170" i="2"/>
  <c r="AW170" i="2"/>
  <c r="AV170" i="2"/>
  <c r="AU170" i="2"/>
  <c r="BB169" i="2"/>
  <c r="BA169" i="2"/>
  <c r="AZ169" i="2"/>
  <c r="AY169" i="2"/>
  <c r="AX169" i="2"/>
  <c r="AW169" i="2"/>
  <c r="AV169" i="2"/>
  <c r="AU169" i="2"/>
  <c r="BB168" i="2"/>
  <c r="BA168" i="2"/>
  <c r="AZ168" i="2"/>
  <c r="AY168" i="2"/>
  <c r="AX168" i="2"/>
  <c r="AW168" i="2"/>
  <c r="AV168" i="2"/>
  <c r="AU168" i="2"/>
  <c r="BB167" i="2"/>
  <c r="BA167" i="2"/>
  <c r="AZ167" i="2"/>
  <c r="AY167" i="2"/>
  <c r="AX167" i="2"/>
  <c r="AW167" i="2"/>
  <c r="AV167" i="2"/>
  <c r="AU167" i="2"/>
  <c r="BB166" i="2"/>
  <c r="BA166" i="2"/>
  <c r="AZ166" i="2"/>
  <c r="AY166" i="2"/>
  <c r="AX166" i="2"/>
  <c r="AW166" i="2"/>
  <c r="AV166" i="2"/>
  <c r="AU166" i="2"/>
  <c r="BB165" i="2"/>
  <c r="BA165" i="2"/>
  <c r="AZ165" i="2"/>
  <c r="AY165" i="2"/>
  <c r="AX165" i="2"/>
  <c r="AW165" i="2"/>
  <c r="AV165" i="2"/>
  <c r="AU165" i="2"/>
  <c r="BB164" i="2"/>
  <c r="BA164" i="2"/>
  <c r="AZ164" i="2"/>
  <c r="AY164" i="2"/>
  <c r="AX164" i="2"/>
  <c r="AW164" i="2"/>
  <c r="AV164" i="2"/>
  <c r="AU164" i="2"/>
  <c r="BB163" i="2"/>
  <c r="BA163" i="2"/>
  <c r="AZ163" i="2"/>
  <c r="AY163" i="2"/>
  <c r="AX163" i="2"/>
  <c r="AW163" i="2"/>
  <c r="AV163" i="2"/>
  <c r="AU163" i="2"/>
  <c r="BB162" i="2"/>
  <c r="BA162" i="2"/>
  <c r="AZ162" i="2"/>
  <c r="AY162" i="2"/>
  <c r="AX162" i="2"/>
  <c r="AW162" i="2"/>
  <c r="AV162" i="2"/>
  <c r="AU162" i="2"/>
  <c r="BB161" i="2"/>
  <c r="BA161" i="2"/>
  <c r="AZ161" i="2"/>
  <c r="AY161" i="2"/>
  <c r="AX161" i="2"/>
  <c r="AW161" i="2"/>
  <c r="AV161" i="2"/>
  <c r="AU161" i="2"/>
  <c r="BB160" i="2"/>
  <c r="BA160" i="2"/>
  <c r="AZ160" i="2"/>
  <c r="AY160" i="2"/>
  <c r="AX160" i="2"/>
  <c r="AW160" i="2"/>
  <c r="AV160" i="2"/>
  <c r="AU160" i="2"/>
  <c r="BB159" i="2"/>
  <c r="BA159" i="2"/>
  <c r="AZ159" i="2"/>
  <c r="AY159" i="2"/>
  <c r="AX159" i="2"/>
  <c r="AW159" i="2"/>
  <c r="AV159" i="2"/>
  <c r="AU159" i="2"/>
  <c r="BB158" i="2"/>
  <c r="BA158" i="2"/>
  <c r="AZ158" i="2"/>
  <c r="AY158" i="2"/>
  <c r="AX158" i="2"/>
  <c r="AW158" i="2"/>
  <c r="AV158" i="2"/>
  <c r="AU158" i="2"/>
  <c r="BB157" i="2"/>
  <c r="BA157" i="2"/>
  <c r="AZ157" i="2"/>
  <c r="AY157" i="2"/>
  <c r="AX157" i="2"/>
  <c r="AW157" i="2"/>
  <c r="AV157" i="2"/>
  <c r="AU157" i="2"/>
  <c r="BB156" i="2"/>
  <c r="BA156" i="2"/>
  <c r="AZ156" i="2"/>
  <c r="AY156" i="2"/>
  <c r="AX156" i="2"/>
  <c r="AW156" i="2"/>
  <c r="AV156" i="2"/>
  <c r="AU156" i="2"/>
  <c r="BB155" i="2"/>
  <c r="BA155" i="2"/>
  <c r="AZ155" i="2"/>
  <c r="AY155" i="2"/>
  <c r="AX155" i="2"/>
  <c r="AW155" i="2"/>
  <c r="AV155" i="2"/>
  <c r="AU155" i="2"/>
  <c r="BB154" i="2"/>
  <c r="BA154" i="2"/>
  <c r="AZ154" i="2"/>
  <c r="AY154" i="2"/>
  <c r="AX154" i="2"/>
  <c r="AW154" i="2"/>
  <c r="AV154" i="2"/>
  <c r="AU154" i="2"/>
  <c r="BB153" i="2"/>
  <c r="BA153" i="2"/>
  <c r="AZ153" i="2"/>
  <c r="AY153" i="2"/>
  <c r="AX153" i="2"/>
  <c r="AW153" i="2"/>
  <c r="AV153" i="2"/>
  <c r="AU153" i="2"/>
  <c r="BB152" i="2"/>
  <c r="BA152" i="2"/>
  <c r="AZ152" i="2"/>
  <c r="AY152" i="2"/>
  <c r="AX152" i="2"/>
  <c r="AW152" i="2"/>
  <c r="AV152" i="2"/>
  <c r="AU152" i="2"/>
  <c r="BB151" i="2"/>
  <c r="BA151" i="2"/>
  <c r="AZ151" i="2"/>
  <c r="AY151" i="2"/>
  <c r="AX151" i="2"/>
  <c r="AW151" i="2"/>
  <c r="AV151" i="2"/>
  <c r="AU151" i="2"/>
  <c r="BB150" i="2"/>
  <c r="BA150" i="2"/>
  <c r="AZ150" i="2"/>
  <c r="AY150" i="2"/>
  <c r="AX150" i="2"/>
  <c r="AW150" i="2"/>
  <c r="AV150" i="2"/>
  <c r="AU150" i="2"/>
  <c r="BB149" i="2"/>
  <c r="BA149" i="2"/>
  <c r="AZ149" i="2"/>
  <c r="AY149" i="2"/>
  <c r="AX149" i="2"/>
  <c r="AW149" i="2"/>
  <c r="AV149" i="2"/>
  <c r="AU149" i="2"/>
  <c r="BB148" i="2"/>
  <c r="BA148" i="2"/>
  <c r="AZ148" i="2"/>
  <c r="AY148" i="2"/>
  <c r="AX148" i="2"/>
  <c r="AW148" i="2"/>
  <c r="AV148" i="2"/>
  <c r="AU148" i="2"/>
  <c r="BB147" i="2"/>
  <c r="BA147" i="2"/>
  <c r="AZ147" i="2"/>
  <c r="AY147" i="2"/>
  <c r="AX147" i="2"/>
  <c r="AW147" i="2"/>
  <c r="AV147" i="2"/>
  <c r="AU147" i="2"/>
  <c r="BB146" i="2"/>
  <c r="BA146" i="2"/>
  <c r="AZ146" i="2"/>
  <c r="AY146" i="2"/>
  <c r="AX146" i="2"/>
  <c r="AW146" i="2"/>
  <c r="AV146" i="2"/>
  <c r="AU146" i="2"/>
  <c r="BB145" i="2"/>
  <c r="BA145" i="2"/>
  <c r="AZ145" i="2"/>
  <c r="AY145" i="2"/>
  <c r="AX145" i="2"/>
  <c r="AW145" i="2"/>
  <c r="AV145" i="2"/>
  <c r="AU145" i="2"/>
  <c r="BB144" i="2"/>
  <c r="BA144" i="2"/>
  <c r="AZ144" i="2"/>
  <c r="AY144" i="2"/>
  <c r="AX144" i="2"/>
  <c r="AW144" i="2"/>
  <c r="AV144" i="2"/>
  <c r="AU144" i="2"/>
  <c r="BB143" i="2"/>
  <c r="BA143" i="2"/>
  <c r="AZ143" i="2"/>
  <c r="AY143" i="2"/>
  <c r="AX143" i="2"/>
  <c r="AW143" i="2"/>
  <c r="AV143" i="2"/>
  <c r="AU143" i="2"/>
  <c r="BB142" i="2"/>
  <c r="BA142" i="2"/>
  <c r="AZ142" i="2"/>
  <c r="AY142" i="2"/>
  <c r="AX142" i="2"/>
  <c r="AW142" i="2"/>
  <c r="AV142" i="2"/>
  <c r="AU142" i="2"/>
  <c r="BB141" i="2"/>
  <c r="BA141" i="2"/>
  <c r="AZ141" i="2"/>
  <c r="AY141" i="2"/>
  <c r="AX141" i="2"/>
  <c r="AW141" i="2"/>
  <c r="AV141" i="2"/>
  <c r="AU141" i="2"/>
  <c r="BB140" i="2"/>
  <c r="BA140" i="2"/>
  <c r="AZ140" i="2"/>
  <c r="AY140" i="2"/>
  <c r="AX140" i="2"/>
  <c r="AW140" i="2"/>
  <c r="AV140" i="2"/>
  <c r="AU140" i="2"/>
  <c r="BB139" i="2"/>
  <c r="BA139" i="2"/>
  <c r="AZ139" i="2"/>
  <c r="AY139" i="2"/>
  <c r="AX139" i="2"/>
  <c r="AW139" i="2"/>
  <c r="AV139" i="2"/>
  <c r="AU139" i="2"/>
  <c r="BB138" i="2"/>
  <c r="BA138" i="2"/>
  <c r="AZ138" i="2"/>
  <c r="AY138" i="2"/>
  <c r="AX138" i="2"/>
  <c r="AW138" i="2"/>
  <c r="AV138" i="2"/>
  <c r="AU138" i="2"/>
  <c r="BB137" i="2"/>
  <c r="BA137" i="2"/>
  <c r="AZ137" i="2"/>
  <c r="AY137" i="2"/>
  <c r="AX137" i="2"/>
  <c r="AW137" i="2"/>
  <c r="AV137" i="2"/>
  <c r="AU137" i="2"/>
  <c r="BB136" i="2"/>
  <c r="BA136" i="2"/>
  <c r="AZ136" i="2"/>
  <c r="AY136" i="2"/>
  <c r="AX136" i="2"/>
  <c r="AW136" i="2"/>
  <c r="AV136" i="2"/>
  <c r="AU136" i="2"/>
  <c r="BB135" i="2"/>
  <c r="BA135" i="2"/>
  <c r="AZ135" i="2"/>
  <c r="AY135" i="2"/>
  <c r="AX135" i="2"/>
  <c r="AW135" i="2"/>
  <c r="AV135" i="2"/>
  <c r="AU135" i="2"/>
  <c r="BB134" i="2"/>
  <c r="BA134" i="2"/>
  <c r="AZ134" i="2"/>
  <c r="AY134" i="2"/>
  <c r="AX134" i="2"/>
  <c r="AW134" i="2"/>
  <c r="AV134" i="2"/>
  <c r="AU134" i="2"/>
  <c r="BB133" i="2"/>
  <c r="BA133" i="2"/>
  <c r="AZ133" i="2"/>
  <c r="AY133" i="2"/>
  <c r="AX133" i="2"/>
  <c r="AW133" i="2"/>
  <c r="AV133" i="2"/>
  <c r="AU133" i="2"/>
  <c r="BB132" i="2"/>
  <c r="BA132" i="2"/>
  <c r="AZ132" i="2"/>
  <c r="AY132" i="2"/>
  <c r="AX132" i="2"/>
  <c r="AW132" i="2"/>
  <c r="AV132" i="2"/>
  <c r="AU132" i="2"/>
  <c r="BB131" i="2"/>
  <c r="BA131" i="2"/>
  <c r="AZ131" i="2"/>
  <c r="AY131" i="2"/>
  <c r="AX131" i="2"/>
  <c r="AW131" i="2"/>
  <c r="AV131" i="2"/>
  <c r="AU131" i="2"/>
  <c r="BB130" i="2"/>
  <c r="BA130" i="2"/>
  <c r="AZ130" i="2"/>
  <c r="AY130" i="2"/>
  <c r="AX130" i="2"/>
  <c r="AW130" i="2"/>
  <c r="AV130" i="2"/>
  <c r="AU130" i="2"/>
  <c r="BB129" i="2"/>
  <c r="BA129" i="2"/>
  <c r="AZ129" i="2"/>
  <c r="AY129" i="2"/>
  <c r="AX129" i="2"/>
  <c r="AW129" i="2"/>
  <c r="AV129" i="2"/>
  <c r="AU129" i="2"/>
  <c r="BB128" i="2"/>
  <c r="BA128" i="2"/>
  <c r="AZ128" i="2"/>
  <c r="AY128" i="2"/>
  <c r="AX128" i="2"/>
  <c r="AW128" i="2"/>
  <c r="AV128" i="2"/>
  <c r="AU128" i="2"/>
  <c r="BB127" i="2"/>
  <c r="BA127" i="2"/>
  <c r="AZ127" i="2"/>
  <c r="AY127" i="2"/>
  <c r="AX127" i="2"/>
  <c r="AW127" i="2"/>
  <c r="AV127" i="2"/>
  <c r="AU127" i="2"/>
  <c r="BB126" i="2"/>
  <c r="BA126" i="2"/>
  <c r="AZ126" i="2"/>
  <c r="AY126" i="2"/>
  <c r="AX126" i="2"/>
  <c r="AW126" i="2"/>
  <c r="AV126" i="2"/>
  <c r="AU126" i="2"/>
  <c r="BB125" i="2"/>
  <c r="BA125" i="2"/>
  <c r="AZ125" i="2"/>
  <c r="AY125" i="2"/>
  <c r="AX125" i="2"/>
  <c r="AW125" i="2"/>
  <c r="AV125" i="2"/>
  <c r="AU125" i="2"/>
  <c r="F100" i="2"/>
  <c r="D100" i="2"/>
  <c r="X99" i="2"/>
  <c r="W99" i="2"/>
  <c r="U99" i="2"/>
  <c r="F99" i="2"/>
  <c r="F101" i="3" s="1"/>
  <c r="H72" i="5" s="1"/>
  <c r="D99" i="2"/>
  <c r="AC98" i="2"/>
  <c r="AB99" i="2" s="1"/>
  <c r="AA98" i="2"/>
  <c r="AB97" i="2" s="1"/>
  <c r="X98" i="2"/>
  <c r="W98" i="2"/>
  <c r="U98" i="2"/>
  <c r="F98" i="2"/>
  <c r="D98" i="2"/>
  <c r="AC97" i="2"/>
  <c r="AA99" i="2" s="1"/>
  <c r="X97" i="2"/>
  <c r="W97" i="2"/>
  <c r="U97" i="2"/>
  <c r="F97" i="2"/>
  <c r="F99" i="3" s="1"/>
  <c r="H70" i="5" s="1"/>
  <c r="D97" i="2"/>
  <c r="AC96" i="2"/>
  <c r="Z99" i="2" s="1"/>
  <c r="AB96" i="2"/>
  <c r="Z98" i="2" s="1"/>
  <c r="AA96" i="2"/>
  <c r="Z97" i="2" s="1"/>
  <c r="X96" i="2"/>
  <c r="W96" i="2"/>
  <c r="U96" i="2"/>
  <c r="J96" i="2"/>
  <c r="F96" i="2"/>
  <c r="D96" i="2"/>
  <c r="D95" i="2"/>
  <c r="F92" i="2"/>
  <c r="D92" i="2"/>
  <c r="X91" i="2"/>
  <c r="W91" i="2"/>
  <c r="U91" i="2"/>
  <c r="F91" i="2"/>
  <c r="D91" i="2"/>
  <c r="AC90" i="2"/>
  <c r="AB91" i="2" s="1"/>
  <c r="AA90" i="2"/>
  <c r="AB89" i="2" s="1"/>
  <c r="X90" i="2"/>
  <c r="W90" i="2"/>
  <c r="U90" i="2"/>
  <c r="F90" i="2"/>
  <c r="D90" i="2"/>
  <c r="AC89" i="2"/>
  <c r="AA91" i="2" s="1"/>
  <c r="X89" i="2"/>
  <c r="W89" i="2"/>
  <c r="U89" i="2"/>
  <c r="F89" i="2"/>
  <c r="D89" i="2"/>
  <c r="AC88" i="2"/>
  <c r="Z91" i="2" s="1"/>
  <c r="AB88" i="2"/>
  <c r="Z90" i="2" s="1"/>
  <c r="AA88" i="2"/>
  <c r="Z89" i="2" s="1"/>
  <c r="X88" i="2"/>
  <c r="W88" i="2"/>
  <c r="U88" i="2"/>
  <c r="J88" i="2"/>
  <c r="F88" i="2"/>
  <c r="D88" i="2"/>
  <c r="F87" i="2"/>
  <c r="D87" i="2"/>
  <c r="F84" i="2"/>
  <c r="D84" i="2"/>
  <c r="X83" i="2"/>
  <c r="W83" i="2"/>
  <c r="U83" i="2"/>
  <c r="F83" i="2"/>
  <c r="D83" i="2"/>
  <c r="AC82" i="2"/>
  <c r="AB83" i="2" s="1"/>
  <c r="AA82" i="2"/>
  <c r="AB81" i="2" s="1"/>
  <c r="X82" i="2"/>
  <c r="W82" i="2"/>
  <c r="U82" i="2"/>
  <c r="F82" i="2"/>
  <c r="D82" i="2"/>
  <c r="AC81" i="2"/>
  <c r="AA83" i="2" s="1"/>
  <c r="X81" i="2"/>
  <c r="W81" i="2"/>
  <c r="U81" i="2"/>
  <c r="F81" i="2"/>
  <c r="D81" i="2"/>
  <c r="AC80" i="2"/>
  <c r="Z83" i="2" s="1"/>
  <c r="AB80" i="2"/>
  <c r="Z82" i="2" s="1"/>
  <c r="AA80" i="2"/>
  <c r="Z81" i="2" s="1"/>
  <c r="X80" i="2"/>
  <c r="W80" i="2"/>
  <c r="U80" i="2"/>
  <c r="J80" i="2"/>
  <c r="F80" i="2"/>
  <c r="D80" i="2"/>
  <c r="F79" i="2"/>
  <c r="D79" i="2"/>
  <c r="F76" i="2"/>
  <c r="D76" i="2"/>
  <c r="X75" i="2"/>
  <c r="W75" i="2"/>
  <c r="U75" i="2"/>
  <c r="F75" i="2"/>
  <c r="F77" i="3" s="1"/>
  <c r="H54" i="5" s="1"/>
  <c r="D75" i="2"/>
  <c r="AC74" i="2"/>
  <c r="AB75" i="2" s="1"/>
  <c r="AA74" i="2"/>
  <c r="AB73" i="2" s="1"/>
  <c r="X74" i="2"/>
  <c r="W74" i="2"/>
  <c r="U74" i="2"/>
  <c r="F74" i="2"/>
  <c r="D74" i="2"/>
  <c r="AC73" i="2"/>
  <c r="AA75" i="2" s="1"/>
  <c r="X73" i="2"/>
  <c r="W73" i="2"/>
  <c r="U73" i="2"/>
  <c r="F73" i="2"/>
  <c r="D73" i="2"/>
  <c r="AC72" i="2"/>
  <c r="Z75" i="2" s="1"/>
  <c r="AB72" i="2"/>
  <c r="Z74" i="2" s="1"/>
  <c r="AA72" i="2"/>
  <c r="Z73" i="2" s="1"/>
  <c r="X72" i="2"/>
  <c r="W72" i="2"/>
  <c r="U72" i="2"/>
  <c r="J72" i="2"/>
  <c r="F72" i="2"/>
  <c r="D72" i="2"/>
  <c r="F71" i="2"/>
  <c r="D71" i="2"/>
  <c r="F68" i="2"/>
  <c r="D68" i="2"/>
  <c r="X67" i="2"/>
  <c r="W67" i="2"/>
  <c r="U67" i="2"/>
  <c r="F67" i="2"/>
  <c r="D67" i="2"/>
  <c r="AC66" i="2"/>
  <c r="AB67" i="2" s="1"/>
  <c r="AA66" i="2"/>
  <c r="AB65" i="2" s="1"/>
  <c r="X66" i="2"/>
  <c r="W66" i="2"/>
  <c r="U66" i="2"/>
  <c r="F66" i="2"/>
  <c r="D66" i="2"/>
  <c r="AC65" i="2"/>
  <c r="AA67" i="2" s="1"/>
  <c r="X65" i="2"/>
  <c r="W65" i="2"/>
  <c r="U65" i="2"/>
  <c r="F65" i="2"/>
  <c r="D65" i="2"/>
  <c r="AC64" i="2"/>
  <c r="Z67" i="2" s="1"/>
  <c r="AB64" i="2"/>
  <c r="Z66" i="2" s="1"/>
  <c r="AA64" i="2"/>
  <c r="Z65" i="2" s="1"/>
  <c r="X64" i="2"/>
  <c r="W64" i="2"/>
  <c r="U64" i="2"/>
  <c r="J64" i="2"/>
  <c r="F64" i="2"/>
  <c r="D64" i="2"/>
  <c r="F63" i="2"/>
  <c r="D63" i="2"/>
  <c r="F60" i="2"/>
  <c r="D60" i="2"/>
  <c r="X59" i="2"/>
  <c r="W59" i="2"/>
  <c r="U59" i="2"/>
  <c r="F59" i="2"/>
  <c r="D59" i="2"/>
  <c r="AC58" i="2"/>
  <c r="AB59" i="2" s="1"/>
  <c r="AA58" i="2"/>
  <c r="AB57" i="2" s="1"/>
  <c r="X58" i="2"/>
  <c r="W58" i="2"/>
  <c r="U58" i="2"/>
  <c r="F58" i="2"/>
  <c r="D58" i="2"/>
  <c r="AC57" i="2"/>
  <c r="AA59" i="2" s="1"/>
  <c r="X57" i="2"/>
  <c r="W57" i="2"/>
  <c r="U57" i="2"/>
  <c r="F57" i="2"/>
  <c r="D57" i="2"/>
  <c r="AC56" i="2"/>
  <c r="Z59" i="2" s="1"/>
  <c r="AB56" i="2"/>
  <c r="Z58" i="2" s="1"/>
  <c r="AA56" i="2"/>
  <c r="Z57" i="2" s="1"/>
  <c r="X56" i="2"/>
  <c r="W56" i="2"/>
  <c r="U56" i="2"/>
  <c r="J56" i="2"/>
  <c r="F56" i="2"/>
  <c r="D56" i="2"/>
  <c r="F55" i="2"/>
  <c r="D55" i="2"/>
  <c r="F52" i="2"/>
  <c r="D52" i="2"/>
  <c r="X51" i="2"/>
  <c r="W51" i="2"/>
  <c r="U51" i="2"/>
  <c r="D51" i="2"/>
  <c r="AC50" i="2"/>
  <c r="AB51" i="2" s="1"/>
  <c r="AA50" i="2"/>
  <c r="AB49" i="2" s="1"/>
  <c r="X50" i="2"/>
  <c r="W50" i="2"/>
  <c r="U50" i="2"/>
  <c r="F50" i="2"/>
  <c r="D50" i="2"/>
  <c r="AC49" i="2"/>
  <c r="AA51" i="2" s="1"/>
  <c r="X49" i="2"/>
  <c r="W49" i="2"/>
  <c r="U49" i="2"/>
  <c r="F49" i="2"/>
  <c r="D49" i="2"/>
  <c r="AC48" i="2"/>
  <c r="Z51" i="2" s="1"/>
  <c r="AB48" i="2"/>
  <c r="Z50" i="2" s="1"/>
  <c r="AA48" i="2"/>
  <c r="Z49" i="2" s="1"/>
  <c r="X48" i="2"/>
  <c r="W48" i="2"/>
  <c r="U48" i="2"/>
  <c r="J48" i="2"/>
  <c r="F48" i="2"/>
  <c r="D48" i="2"/>
  <c r="F47" i="2"/>
  <c r="D47" i="2"/>
  <c r="F44" i="2"/>
  <c r="D44" i="2"/>
  <c r="X43" i="2"/>
  <c r="W43" i="2"/>
  <c r="U43" i="2"/>
  <c r="F43" i="2"/>
  <c r="D43" i="2"/>
  <c r="AC42" i="2"/>
  <c r="AB43" i="2" s="1"/>
  <c r="AA42" i="2"/>
  <c r="AB41" i="2" s="1"/>
  <c r="X42" i="2"/>
  <c r="W42" i="2"/>
  <c r="U42" i="2"/>
  <c r="F42" i="2"/>
  <c r="D42" i="2"/>
  <c r="AC41" i="2"/>
  <c r="AA43" i="2" s="1"/>
  <c r="X41" i="2"/>
  <c r="W41" i="2"/>
  <c r="U41" i="2"/>
  <c r="F41" i="2"/>
  <c r="D41" i="2"/>
  <c r="AC40" i="2"/>
  <c r="Z43" i="2" s="1"/>
  <c r="AB40" i="2"/>
  <c r="Z42" i="2" s="1"/>
  <c r="AA40" i="2"/>
  <c r="Z41" i="2" s="1"/>
  <c r="X40" i="2"/>
  <c r="W40" i="2"/>
  <c r="U40" i="2"/>
  <c r="J40" i="2"/>
  <c r="F40" i="2"/>
  <c r="D40" i="2"/>
  <c r="F39" i="2"/>
  <c r="D39" i="2"/>
  <c r="F36" i="2"/>
  <c r="D36" i="2"/>
  <c r="X35" i="2"/>
  <c r="W35" i="2"/>
  <c r="U35" i="2"/>
  <c r="F35" i="2"/>
  <c r="D35" i="2"/>
  <c r="AC34" i="2"/>
  <c r="AB35" i="2" s="1"/>
  <c r="AA34" i="2"/>
  <c r="AB33" i="2" s="1"/>
  <c r="X34" i="2"/>
  <c r="W34" i="2"/>
  <c r="U34" i="2"/>
  <c r="F34" i="2"/>
  <c r="D34" i="2"/>
  <c r="AC33" i="2"/>
  <c r="AA35" i="2" s="1"/>
  <c r="X33" i="2"/>
  <c r="W33" i="2"/>
  <c r="U33" i="2"/>
  <c r="F33" i="2"/>
  <c r="D33" i="2"/>
  <c r="AC32" i="2"/>
  <c r="Z35" i="2" s="1"/>
  <c r="AB32" i="2"/>
  <c r="Z34" i="2" s="1"/>
  <c r="AA32" i="2"/>
  <c r="Z33" i="2" s="1"/>
  <c r="X32" i="2"/>
  <c r="W32" i="2"/>
  <c r="U32" i="2"/>
  <c r="J32" i="2"/>
  <c r="F32" i="2"/>
  <c r="D32" i="2"/>
  <c r="F31" i="2"/>
  <c r="D31" i="2"/>
  <c r="F28" i="2"/>
  <c r="D28" i="2"/>
  <c r="X27" i="2"/>
  <c r="W27" i="2"/>
  <c r="U27" i="2"/>
  <c r="F27" i="2"/>
  <c r="D27" i="2"/>
  <c r="AC26" i="2"/>
  <c r="AB27" i="2" s="1"/>
  <c r="AA26" i="2"/>
  <c r="AB25" i="2" s="1"/>
  <c r="X26" i="2"/>
  <c r="W26" i="2"/>
  <c r="U26" i="2"/>
  <c r="F26" i="2"/>
  <c r="D26" i="2"/>
  <c r="AC25" i="2"/>
  <c r="AA27" i="2" s="1"/>
  <c r="X25" i="2"/>
  <c r="W25" i="2"/>
  <c r="U25" i="2"/>
  <c r="F25" i="2"/>
  <c r="D25" i="2"/>
  <c r="AC24" i="2"/>
  <c r="Z27" i="2" s="1"/>
  <c r="AB24" i="2"/>
  <c r="Z26" i="2" s="1"/>
  <c r="AA24" i="2"/>
  <c r="Z25" i="2" s="1"/>
  <c r="X24" i="2"/>
  <c r="W24" i="2"/>
  <c r="U24" i="2"/>
  <c r="J24" i="2"/>
  <c r="F24" i="2"/>
  <c r="D24" i="2"/>
  <c r="F23" i="2"/>
  <c r="D23" i="2"/>
  <c r="F20" i="2"/>
  <c r="D20" i="2"/>
  <c r="X19" i="2"/>
  <c r="W19" i="2"/>
  <c r="U19" i="2"/>
  <c r="F19" i="2"/>
  <c r="D19" i="2"/>
  <c r="AC18" i="2"/>
  <c r="AB19" i="2" s="1"/>
  <c r="AA18" i="2"/>
  <c r="AB17" i="2" s="1"/>
  <c r="X18" i="2"/>
  <c r="W18" i="2"/>
  <c r="U18" i="2"/>
  <c r="F18" i="2"/>
  <c r="D18" i="2"/>
  <c r="AC17" i="2"/>
  <c r="AA19" i="2" s="1"/>
  <c r="X17" i="2"/>
  <c r="W17" i="2"/>
  <c r="U17" i="2"/>
  <c r="F17" i="2"/>
  <c r="D17" i="2"/>
  <c r="AC16" i="2"/>
  <c r="Z19" i="2" s="1"/>
  <c r="AB16" i="2"/>
  <c r="Z18" i="2" s="1"/>
  <c r="AA16" i="2"/>
  <c r="Z17" i="2" s="1"/>
  <c r="X16" i="2"/>
  <c r="W16" i="2"/>
  <c r="U16" i="2"/>
  <c r="J16" i="2"/>
  <c r="F16" i="2"/>
  <c r="D16" i="2"/>
  <c r="F15" i="2"/>
  <c r="D15" i="2"/>
  <c r="F12" i="2"/>
  <c r="D12" i="2"/>
  <c r="X11" i="2"/>
  <c r="W11" i="2"/>
  <c r="U11" i="2"/>
  <c r="F11" i="2"/>
  <c r="D11" i="2"/>
  <c r="AC10" i="2"/>
  <c r="AB11" i="2" s="1"/>
  <c r="AA10" i="2"/>
  <c r="AB9" i="2" s="1"/>
  <c r="X10" i="2"/>
  <c r="W10" i="2"/>
  <c r="U10" i="2"/>
  <c r="F10" i="2"/>
  <c r="D10" i="2"/>
  <c r="AC9" i="2"/>
  <c r="AA11" i="2" s="1"/>
  <c r="X9" i="2"/>
  <c r="W9" i="2"/>
  <c r="U9" i="2"/>
  <c r="F9" i="2"/>
  <c r="D9" i="2"/>
  <c r="AC8" i="2"/>
  <c r="Z11" i="2" s="1"/>
  <c r="AB8" i="2"/>
  <c r="Z10" i="2" s="1"/>
  <c r="AA8" i="2"/>
  <c r="Z9" i="2" s="1"/>
  <c r="X8" i="2"/>
  <c r="W8" i="2"/>
  <c r="U8" i="2"/>
  <c r="J8" i="2"/>
  <c r="F8" i="2"/>
  <c r="D8" i="2"/>
  <c r="F7" i="2"/>
  <c r="D7" i="2"/>
  <c r="BE6" i="2"/>
  <c r="AI11" i="2" l="1"/>
  <c r="AK19" i="2"/>
  <c r="Y25" i="2"/>
  <c r="AK34" i="2"/>
  <c r="Y40" i="2"/>
  <c r="Y16" i="2"/>
  <c r="AJ32" i="2"/>
  <c r="Y57" i="2"/>
  <c r="AJ24" i="2"/>
  <c r="Y65" i="2"/>
  <c r="AJ43" i="2"/>
  <c r="AJ58" i="2"/>
  <c r="V73" i="2"/>
  <c r="AI88" i="2"/>
  <c r="BC590" i="2"/>
  <c r="BC610" i="2"/>
  <c r="AJ35" i="2"/>
  <c r="Y49" i="2"/>
  <c r="AK35" i="2"/>
  <c r="AK50" i="2"/>
  <c r="Y56" i="2"/>
  <c r="V19" i="2"/>
  <c r="AJ34" i="2"/>
  <c r="AI64" i="2"/>
  <c r="Y83" i="2"/>
  <c r="AI67" i="2"/>
  <c r="AJ90" i="2"/>
  <c r="AJ27" i="2"/>
  <c r="V72" i="2"/>
  <c r="Y9" i="2"/>
  <c r="Y24" i="2"/>
  <c r="AJ48" i="2"/>
  <c r="Y59" i="2"/>
  <c r="V75" i="2"/>
  <c r="Y81" i="2"/>
  <c r="Y88" i="2"/>
  <c r="AJ16" i="2"/>
  <c r="Y17" i="2"/>
  <c r="AK26" i="2"/>
  <c r="Y32" i="2"/>
  <c r="AI48" i="2"/>
  <c r="Y82" i="2"/>
  <c r="AI83" i="2"/>
  <c r="BC497" i="2"/>
  <c r="BC510" i="2"/>
  <c r="BC536" i="2"/>
  <c r="AK65" i="2"/>
  <c r="AI73" i="2"/>
  <c r="AJ80" i="2"/>
  <c r="BC126" i="2"/>
  <c r="BC296" i="2"/>
  <c r="BC361" i="2"/>
  <c r="AJ66" i="2"/>
  <c r="AI89" i="2"/>
  <c r="BC178" i="2"/>
  <c r="BC218" i="2"/>
  <c r="BC238" i="2"/>
  <c r="BC278" i="2"/>
  <c r="BC283" i="2"/>
  <c r="BC368" i="2"/>
  <c r="AH73" i="2"/>
  <c r="BC436" i="2"/>
  <c r="Y8" i="2"/>
  <c r="V43" i="2"/>
  <c r="BC127" i="2"/>
  <c r="BC172" i="2"/>
  <c r="BC182" i="2"/>
  <c r="BC187" i="2"/>
  <c r="BC197" i="2"/>
  <c r="BC242" i="2"/>
  <c r="BC469" i="2"/>
  <c r="BC569" i="2"/>
  <c r="AK9" i="2"/>
  <c r="Y42" i="2"/>
  <c r="AI51" i="2"/>
  <c r="Y58" i="2"/>
  <c r="AJ59" i="2"/>
  <c r="Y73" i="2"/>
  <c r="BC301" i="2"/>
  <c r="BC318" i="2"/>
  <c r="AJ8" i="2"/>
  <c r="AJ40" i="2"/>
  <c r="AK57" i="2"/>
  <c r="AK75" i="2"/>
  <c r="AJ82" i="2"/>
  <c r="BC134" i="2"/>
  <c r="BC231" i="2"/>
  <c r="BC396" i="2"/>
  <c r="BC410" i="2"/>
  <c r="BC490" i="2"/>
  <c r="BC507" i="2"/>
  <c r="BC525" i="2"/>
  <c r="Y11" i="2"/>
  <c r="AJ64" i="2"/>
  <c r="AJ72" i="2"/>
  <c r="AK74" i="2"/>
  <c r="Y80" i="2"/>
  <c r="AK97" i="2"/>
  <c r="BC290" i="2"/>
  <c r="BC576" i="2"/>
  <c r="BC577" i="2"/>
  <c r="BC467" i="2"/>
  <c r="BC571" i="2"/>
  <c r="BC185" i="2"/>
  <c r="BC262" i="2"/>
  <c r="BC267" i="2"/>
  <c r="BC297" i="2"/>
  <c r="BC468" i="2"/>
  <c r="Y10" i="2"/>
  <c r="BC460" i="2"/>
  <c r="BC558" i="2"/>
  <c r="AJ11" i="2"/>
  <c r="V27" i="2"/>
  <c r="AI43" i="2"/>
  <c r="BC281" i="2"/>
  <c r="BC336" i="2"/>
  <c r="BC346" i="2"/>
  <c r="BC550" i="2"/>
  <c r="BC201" i="2"/>
  <c r="AK59" i="2"/>
  <c r="BC168" i="2"/>
  <c r="BC308" i="2"/>
  <c r="BC331" i="2"/>
  <c r="BC401" i="2"/>
  <c r="BC418" i="2"/>
  <c r="BC567" i="2"/>
  <c r="AK43" i="2"/>
  <c r="V64" i="2"/>
  <c r="BC152" i="2"/>
  <c r="BC176" i="2"/>
  <c r="BC307" i="2"/>
  <c r="BC325" i="2"/>
  <c r="BC335" i="2"/>
  <c r="BC408" i="2"/>
  <c r="BC431" i="2"/>
  <c r="BC461" i="2"/>
  <c r="BC518" i="2"/>
  <c r="AK73" i="2"/>
  <c r="Y41" i="2"/>
  <c r="AK10" i="2"/>
  <c r="AK18" i="2"/>
  <c r="AK17" i="2"/>
  <c r="AK25" i="2"/>
  <c r="AK33" i="2"/>
  <c r="AI49" i="2"/>
  <c r="AJ50" i="2"/>
  <c r="Y64" i="2"/>
  <c r="V65" i="2"/>
  <c r="AK66" i="2"/>
  <c r="AJ99" i="2"/>
  <c r="BC232" i="2"/>
  <c r="BC255" i="2"/>
  <c r="BC310" i="2"/>
  <c r="BC407" i="2"/>
  <c r="BC425" i="2"/>
  <c r="BC508" i="2"/>
  <c r="BC531" i="2"/>
  <c r="BC581" i="2"/>
  <c r="BC591" i="2"/>
  <c r="BC601" i="2"/>
  <c r="BC616" i="2"/>
  <c r="BC330" i="2"/>
  <c r="BC477" i="2"/>
  <c r="BC498" i="2"/>
  <c r="BC148" i="2"/>
  <c r="BC317" i="2"/>
  <c r="BC319" i="2"/>
  <c r="BC377" i="2"/>
  <c r="BC392" i="2"/>
  <c r="BC417" i="2"/>
  <c r="BC419" i="2"/>
  <c r="BC447" i="2"/>
  <c r="BC457" i="2"/>
  <c r="BC492" i="2"/>
  <c r="BC517" i="2"/>
  <c r="BC519" i="2"/>
  <c r="BC526" i="2"/>
  <c r="BC547" i="2"/>
  <c r="BC595" i="2"/>
  <c r="BC596" i="2"/>
  <c r="BC599" i="2"/>
  <c r="BC606" i="2"/>
  <c r="Y27" i="2"/>
  <c r="BC298" i="2"/>
  <c r="BC320" i="2"/>
  <c r="BC383" i="2"/>
  <c r="BC500" i="2"/>
  <c r="BC511" i="2"/>
  <c r="AK83" i="2"/>
  <c r="BC175" i="2"/>
  <c r="BC233" i="2"/>
  <c r="BC249" i="2"/>
  <c r="BC409" i="2"/>
  <c r="BC496" i="2"/>
  <c r="AK58" i="2"/>
  <c r="AH64" i="2"/>
  <c r="AH72" i="2"/>
  <c r="AI75" i="2"/>
  <c r="Y99" i="2"/>
  <c r="BC135" i="2"/>
  <c r="BC144" i="2"/>
  <c r="BC145" i="2"/>
  <c r="BC147" i="2"/>
  <c r="BC161" i="2"/>
  <c r="BC208" i="2"/>
  <c r="BC228" i="2"/>
  <c r="BC269" i="2"/>
  <c r="BC280" i="2"/>
  <c r="BC291" i="2"/>
  <c r="BC358" i="2"/>
  <c r="BC446" i="2"/>
  <c r="BC451" i="2"/>
  <c r="BC456" i="2"/>
  <c r="BC516" i="2"/>
  <c r="BC546" i="2"/>
  <c r="BC557" i="2"/>
  <c r="BC611" i="2"/>
  <c r="BC128" i="2"/>
  <c r="BC277" i="2"/>
  <c r="BC292" i="2"/>
  <c r="BC352" i="2"/>
  <c r="BC365" i="2"/>
  <c r="Y18" i="2"/>
  <c r="BC164" i="2"/>
  <c r="BC246" i="2"/>
  <c r="BC309" i="2"/>
  <c r="BC509" i="2"/>
  <c r="BC530" i="2"/>
  <c r="V11" i="2"/>
  <c r="AI35" i="2"/>
  <c r="AK27" i="2"/>
  <c r="AI72" i="2"/>
  <c r="BC137" i="2"/>
  <c r="BC160" i="2"/>
  <c r="BC162" i="2"/>
  <c r="BC194" i="2"/>
  <c r="BC207" i="2"/>
  <c r="BC227" i="2"/>
  <c r="BC261" i="2"/>
  <c r="BC286" i="2"/>
  <c r="BC315" i="2"/>
  <c r="BC347" i="2"/>
  <c r="BC357" i="2"/>
  <c r="BC415" i="2"/>
  <c r="BC444" i="2"/>
  <c r="BC445" i="2"/>
  <c r="BC449" i="2"/>
  <c r="BC450" i="2"/>
  <c r="BC481" i="2"/>
  <c r="BC515" i="2"/>
  <c r="BC544" i="2"/>
  <c r="BC545" i="2"/>
  <c r="BC551" i="2"/>
  <c r="BC556" i="2"/>
  <c r="BC561" i="2"/>
  <c r="BC580" i="2"/>
  <c r="BC582" i="2"/>
  <c r="BC593" i="2"/>
  <c r="BC598" i="2"/>
  <c r="BC614" i="2"/>
  <c r="Y26" i="2"/>
  <c r="Y33" i="2"/>
  <c r="BC156" i="2"/>
  <c r="BC247" i="2"/>
  <c r="BC573" i="2"/>
  <c r="Y19" i="2"/>
  <c r="BC155" i="2"/>
  <c r="BC270" i="2"/>
  <c r="BC360" i="2"/>
  <c r="AI19" i="2"/>
  <c r="Y34" i="2"/>
  <c r="V35" i="2"/>
  <c r="AI41" i="2"/>
  <c r="AK42" i="2"/>
  <c r="V51" i="2"/>
  <c r="AJ56" i="2"/>
  <c r="AI59" i="2"/>
  <c r="AH65" i="2"/>
  <c r="Y90" i="2"/>
  <c r="V91" i="2"/>
  <c r="Y97" i="2"/>
  <c r="Y98" i="2"/>
  <c r="BC131" i="2"/>
  <c r="BC136" i="2"/>
  <c r="BC142" i="2"/>
  <c r="BC199" i="2"/>
  <c r="BC200" i="2"/>
  <c r="BC216" i="2"/>
  <c r="BC260" i="2"/>
  <c r="BC266" i="2"/>
  <c r="BC268" i="2"/>
  <c r="BC285" i="2"/>
  <c r="BC344" i="2"/>
  <c r="BC345" i="2"/>
  <c r="BC351" i="2"/>
  <c r="BC356" i="2"/>
  <c r="BC381" i="2"/>
  <c r="BC391" i="2"/>
  <c r="BC433" i="2"/>
  <c r="BC440" i="2"/>
  <c r="BC470" i="2"/>
  <c r="BC480" i="2"/>
  <c r="BC491" i="2"/>
  <c r="BC540" i="2"/>
  <c r="BC608" i="2"/>
  <c r="AK11" i="2"/>
  <c r="BC210" i="2"/>
  <c r="BC311" i="2"/>
  <c r="BC411" i="2"/>
  <c r="BC462" i="2"/>
  <c r="BC180" i="2"/>
  <c r="BC276" i="2"/>
  <c r="BC362" i="2"/>
  <c r="BC430" i="2"/>
  <c r="BC458" i="2"/>
  <c r="AI27" i="2"/>
  <c r="Y43" i="2"/>
  <c r="AJ19" i="2"/>
  <c r="Y35" i="2"/>
  <c r="AI40" i="2"/>
  <c r="Y51" i="2"/>
  <c r="AI65" i="2"/>
  <c r="Y89" i="2"/>
  <c r="AJ91" i="2"/>
  <c r="V99" i="2"/>
  <c r="BC130" i="2"/>
  <c r="BC141" i="2"/>
  <c r="BC186" i="2"/>
  <c r="BC214" i="2"/>
  <c r="BC215" i="2"/>
  <c r="BC220" i="2"/>
  <c r="BC328" i="2"/>
  <c r="BC340" i="2"/>
  <c r="BC349" i="2"/>
  <c r="BC350" i="2"/>
  <c r="BC370" i="2"/>
  <c r="BC380" i="2"/>
  <c r="BC390" i="2"/>
  <c r="BC397" i="2"/>
  <c r="BC428" i="2"/>
  <c r="BC528" i="2"/>
  <c r="BC559" i="2"/>
  <c r="BC592" i="2"/>
  <c r="Y50" i="2"/>
  <c r="Y72" i="2"/>
  <c r="BC129" i="2"/>
  <c r="BC171" i="2"/>
  <c r="BC257" i="2"/>
  <c r="BC348" i="2"/>
  <c r="BC367" i="2"/>
  <c r="BC369" i="2"/>
  <c r="BC384" i="2"/>
  <c r="BC385" i="2"/>
  <c r="BC394" i="2"/>
  <c r="BC395" i="2"/>
  <c r="BC435" i="2"/>
  <c r="BC437" i="2"/>
  <c r="BC475" i="2"/>
  <c r="BC495" i="2"/>
  <c r="BC506" i="2"/>
  <c r="BC535" i="2"/>
  <c r="BC537" i="2"/>
  <c r="BC563" i="2"/>
  <c r="BC612" i="2"/>
  <c r="Y67" i="2"/>
  <c r="AJ88" i="2"/>
  <c r="AH96" i="2"/>
  <c r="AI97" i="2"/>
  <c r="AJ98" i="2"/>
  <c r="BC234" i="2"/>
  <c r="BC250" i="2"/>
  <c r="BC256" i="2"/>
  <c r="BC300" i="2"/>
  <c r="BC304" i="2"/>
  <c r="BC321" i="2"/>
  <c r="BC337" i="2"/>
  <c r="BC375" i="2"/>
  <c r="BC404" i="2"/>
  <c r="BC473" i="2"/>
  <c r="BC483" i="2"/>
  <c r="BC501" i="2"/>
  <c r="BC504" i="2"/>
  <c r="BC505" i="2"/>
  <c r="BC521" i="2"/>
  <c r="BC552" i="2"/>
  <c r="BC565" i="2"/>
  <c r="BC566" i="2"/>
  <c r="BC568" i="2"/>
  <c r="BC586" i="2"/>
  <c r="BC617" i="2"/>
  <c r="AH24" i="2"/>
  <c r="V24" i="2"/>
  <c r="AH32" i="2"/>
  <c r="V32" i="2"/>
  <c r="AH57" i="2"/>
  <c r="V57" i="2"/>
  <c r="AH42" i="2"/>
  <c r="V42" i="2"/>
  <c r="D50" i="3"/>
  <c r="F33" i="5" s="1"/>
  <c r="D65" i="3"/>
  <c r="F44" i="5" s="1"/>
  <c r="AH80" i="2"/>
  <c r="V80" i="2"/>
  <c r="AI80" i="2"/>
  <c r="F50" i="3"/>
  <c r="H33" i="5" s="1"/>
  <c r="D76" i="3"/>
  <c r="F53" i="5" s="1"/>
  <c r="D77" i="3"/>
  <c r="F54" i="5" s="1"/>
  <c r="AH9" i="2"/>
  <c r="V9" i="2"/>
  <c r="AI9" i="2"/>
  <c r="AH17" i="2"/>
  <c r="V17" i="2"/>
  <c r="AI17" i="2"/>
  <c r="AH25" i="2"/>
  <c r="V25" i="2"/>
  <c r="AI25" i="2"/>
  <c r="AI33" i="2"/>
  <c r="V33" i="2"/>
  <c r="AH33" i="2"/>
  <c r="F43" i="3"/>
  <c r="H28" i="5" s="1"/>
  <c r="AH41" i="2"/>
  <c r="V41" i="2"/>
  <c r="D54" i="3"/>
  <c r="F37" i="5" s="1"/>
  <c r="AH56" i="2"/>
  <c r="F85" i="3"/>
  <c r="H60" i="5" s="1"/>
  <c r="F94" i="3"/>
  <c r="H67" i="5" s="1"/>
  <c r="AH8" i="2"/>
  <c r="V8" i="2"/>
  <c r="AH16" i="2"/>
  <c r="V16" i="2"/>
  <c r="AK67" i="2"/>
  <c r="V67" i="2"/>
  <c r="AJ67" i="2"/>
  <c r="F20" i="3"/>
  <c r="H11" i="5" s="1"/>
  <c r="F28" i="3"/>
  <c r="H17" i="5" s="1"/>
  <c r="F11" i="3"/>
  <c r="H4" i="5" s="1"/>
  <c r="F19" i="3"/>
  <c r="H10" i="5" s="1"/>
  <c r="AK49" i="2"/>
  <c r="V49" i="2"/>
  <c r="AH49" i="2"/>
  <c r="AI16" i="2"/>
  <c r="F33" i="3"/>
  <c r="H20" i="5" s="1"/>
  <c r="D61" i="3"/>
  <c r="F42" i="5" s="1"/>
  <c r="AK98" i="2"/>
  <c r="AH98" i="2"/>
  <c r="V98" i="2"/>
  <c r="D37" i="3"/>
  <c r="F24" i="5" s="1"/>
  <c r="F67" i="3"/>
  <c r="H46" i="5" s="1"/>
  <c r="AI96" i="2"/>
  <c r="AJ96" i="2"/>
  <c r="D41" i="3"/>
  <c r="F26" i="5" s="1"/>
  <c r="D75" i="3"/>
  <c r="F52" i="5" s="1"/>
  <c r="F17" i="3"/>
  <c r="H8" i="5" s="1"/>
  <c r="AI24" i="2"/>
  <c r="AJ42" i="2"/>
  <c r="BC151" i="2"/>
  <c r="AK41" i="2"/>
  <c r="D98" i="3"/>
  <c r="F69" i="5" s="1"/>
  <c r="D59" i="3"/>
  <c r="F40" i="5" s="1"/>
  <c r="F12" i="3"/>
  <c r="H5" i="5" s="1"/>
  <c r="F27" i="3"/>
  <c r="H16" i="5" s="1"/>
  <c r="F35" i="3"/>
  <c r="H22" i="5" s="1"/>
  <c r="F54" i="3"/>
  <c r="H37" i="5" s="1"/>
  <c r="AI57" i="2"/>
  <c r="F9" i="3"/>
  <c r="H2" i="5" s="1"/>
  <c r="AI8" i="2"/>
  <c r="F25" i="3"/>
  <c r="H14" i="5" s="1"/>
  <c r="AI32" i="2"/>
  <c r="D73" i="3"/>
  <c r="F50" i="5" s="1"/>
  <c r="AH81" i="2"/>
  <c r="V81" i="2"/>
  <c r="AI81" i="2"/>
  <c r="F37" i="3"/>
  <c r="H24" i="5" s="1"/>
  <c r="F41" i="3"/>
  <c r="H26" i="5" s="1"/>
  <c r="D53" i="3"/>
  <c r="F36" i="5" s="1"/>
  <c r="Y48" i="2"/>
  <c r="F53" i="3"/>
  <c r="H36" i="5" s="1"/>
  <c r="AK51" i="2"/>
  <c r="AJ51" i="2"/>
  <c r="D58" i="3"/>
  <c r="F39" i="5" s="1"/>
  <c r="AI56" i="2"/>
  <c r="V56" i="2"/>
  <c r="D68" i="3"/>
  <c r="F47" i="5" s="1"/>
  <c r="D74" i="3"/>
  <c r="F51" i="5" s="1"/>
  <c r="AH74" i="2"/>
  <c r="V74" i="2"/>
  <c r="AJ74" i="2"/>
  <c r="D12" i="3"/>
  <c r="F5" i="5" s="1"/>
  <c r="F14" i="3"/>
  <c r="H7" i="5" s="1"/>
  <c r="D20" i="3"/>
  <c r="F11" i="5" s="1"/>
  <c r="F22" i="3"/>
  <c r="H13" i="5" s="1"/>
  <c r="D28" i="3"/>
  <c r="F17" i="5" s="1"/>
  <c r="F30" i="3"/>
  <c r="H19" i="5" s="1"/>
  <c r="AH48" i="2"/>
  <c r="V48" i="2"/>
  <c r="F52" i="3"/>
  <c r="H35" i="5" s="1"/>
  <c r="F73" i="3"/>
  <c r="H50" i="5" s="1"/>
  <c r="F83" i="3"/>
  <c r="H58" i="5" s="1"/>
  <c r="BC189" i="2"/>
  <c r="BC217" i="2"/>
  <c r="D21" i="3"/>
  <c r="F12" i="5" s="1"/>
  <c r="D26" i="3"/>
  <c r="F15" i="5" s="1"/>
  <c r="D38" i="3"/>
  <c r="F25" i="5" s="1"/>
  <c r="AH40" i="2"/>
  <c r="V40" i="2"/>
  <c r="D49" i="3"/>
  <c r="F32" i="5" s="1"/>
  <c r="D13" i="3"/>
  <c r="F6" i="5" s="1"/>
  <c r="D18" i="3"/>
  <c r="F9" i="5" s="1"/>
  <c r="D29" i="3"/>
  <c r="F18" i="5" s="1"/>
  <c r="D34" i="3"/>
  <c r="F21" i="5" s="1"/>
  <c r="F10" i="3"/>
  <c r="H3" i="5" s="1"/>
  <c r="AJ10" i="2"/>
  <c r="F13" i="3"/>
  <c r="H6" i="5" s="1"/>
  <c r="F18" i="3"/>
  <c r="H9" i="5" s="1"/>
  <c r="AJ18" i="2"/>
  <c r="F21" i="3"/>
  <c r="H12" i="5" s="1"/>
  <c r="F26" i="3"/>
  <c r="H15" i="5" s="1"/>
  <c r="AJ26" i="2"/>
  <c r="F29" i="3"/>
  <c r="H18" i="5" s="1"/>
  <c r="F34" i="3"/>
  <c r="H21" i="5" s="1"/>
  <c r="D44" i="3"/>
  <c r="F29" i="5" s="1"/>
  <c r="D70" i="3"/>
  <c r="F49" i="5" s="1"/>
  <c r="AK89" i="2"/>
  <c r="AK91" i="2"/>
  <c r="F84" i="3"/>
  <c r="H59" i="5" s="1"/>
  <c r="AI99" i="2"/>
  <c r="AK99" i="2"/>
  <c r="D10" i="3"/>
  <c r="F3" i="5" s="1"/>
  <c r="D11" i="3"/>
  <c r="F4" i="5" s="1"/>
  <c r="D19" i="3"/>
  <c r="F10" i="5" s="1"/>
  <c r="D27" i="3"/>
  <c r="F16" i="5" s="1"/>
  <c r="D35" i="3"/>
  <c r="F22" i="5" s="1"/>
  <c r="F44" i="3"/>
  <c r="H29" i="5" s="1"/>
  <c r="F51" i="3"/>
  <c r="H34" i="5" s="1"/>
  <c r="D66" i="3"/>
  <c r="F45" i="5" s="1"/>
  <c r="F70" i="3"/>
  <c r="H49" i="5" s="1"/>
  <c r="V83" i="2"/>
  <c r="AJ83" i="2"/>
  <c r="D93" i="3"/>
  <c r="F66" i="5" s="1"/>
  <c r="D9" i="3"/>
  <c r="F2" i="5" s="1"/>
  <c r="D17" i="3"/>
  <c r="F8" i="5" s="1"/>
  <c r="D25" i="3"/>
  <c r="F14" i="5" s="1"/>
  <c r="D33" i="3"/>
  <c r="F20" i="5" s="1"/>
  <c r="F38" i="3"/>
  <c r="H25" i="5" s="1"/>
  <c r="D43" i="3"/>
  <c r="F28" i="5" s="1"/>
  <c r="F49" i="3"/>
  <c r="H32" i="5" s="1"/>
  <c r="D52" i="3"/>
  <c r="F35" i="5" s="1"/>
  <c r="AH50" i="2"/>
  <c r="V50" i="2"/>
  <c r="F58" i="3"/>
  <c r="H39" i="5" s="1"/>
  <c r="F65" i="3"/>
  <c r="H44" i="5" s="1"/>
  <c r="F75" i="3"/>
  <c r="H52" i="5" s="1"/>
  <c r="Y75" i="2"/>
  <c r="AK81" i="2"/>
  <c r="AK82" i="2"/>
  <c r="V82" i="2"/>
  <c r="AH82" i="2"/>
  <c r="F89" i="3"/>
  <c r="H62" i="5" s="1"/>
  <c r="BC165" i="2"/>
  <c r="BC170" i="2"/>
  <c r="BC177" i="2"/>
  <c r="BC188" i="2"/>
  <c r="BC222" i="2"/>
  <c r="BC244" i="2"/>
  <c r="BC254" i="2"/>
  <c r="BC386" i="2"/>
  <c r="BC305" i="2"/>
  <c r="BC533" i="2"/>
  <c r="D90" i="3"/>
  <c r="F63" i="5" s="1"/>
  <c r="F92" i="3"/>
  <c r="H65" i="5" s="1"/>
  <c r="BC181" i="2"/>
  <c r="BC271" i="2"/>
  <c r="D94" i="3"/>
  <c r="F67" i="5" s="1"/>
  <c r="D100" i="3"/>
  <c r="F71" i="5" s="1"/>
  <c r="BC157" i="2"/>
  <c r="BC174" i="2"/>
  <c r="BC203" i="2"/>
  <c r="BC221" i="2"/>
  <c r="BC484" i="2"/>
  <c r="BC485" i="2"/>
  <c r="D42" i="3"/>
  <c r="F27" i="5" s="1"/>
  <c r="D45" i="3"/>
  <c r="F30" i="5" s="1"/>
  <c r="F59" i="3"/>
  <c r="H40" i="5" s="1"/>
  <c r="AH58" i="2"/>
  <c r="V58" i="2"/>
  <c r="V59" i="2"/>
  <c r="Y66" i="2"/>
  <c r="F81" i="3"/>
  <c r="H56" i="5" s="1"/>
  <c r="AK90" i="2"/>
  <c r="BC191" i="2"/>
  <c r="BC202" i="2"/>
  <c r="BC219" i="2"/>
  <c r="BC225" i="2"/>
  <c r="BC398" i="2"/>
  <c r="V10" i="2"/>
  <c r="V18" i="2"/>
  <c r="AH26" i="2"/>
  <c r="D46" i="3"/>
  <c r="F31" i="5" s="1"/>
  <c r="D62" i="3"/>
  <c r="F43" i="5" s="1"/>
  <c r="D69" i="3"/>
  <c r="F48" i="5" s="1"/>
  <c r="BC138" i="2"/>
  <c r="BC149" i="2"/>
  <c r="BC167" i="2"/>
  <c r="BC190" i="2"/>
  <c r="BC196" i="2"/>
  <c r="BC212" i="2"/>
  <c r="BC241" i="2"/>
  <c r="BC226" i="2"/>
  <c r="BC452" i="2"/>
  <c r="AH10" i="2"/>
  <c r="AH18" i="2"/>
  <c r="V26" i="2"/>
  <c r="D36" i="3"/>
  <c r="F23" i="5" s="1"/>
  <c r="AH34" i="2"/>
  <c r="V34" i="2"/>
  <c r="F42" i="3"/>
  <c r="H27" i="5" s="1"/>
  <c r="F45" i="3"/>
  <c r="H30" i="5" s="1"/>
  <c r="D57" i="3"/>
  <c r="F38" i="5" s="1"/>
  <c r="D14" i="3"/>
  <c r="F7" i="5" s="1"/>
  <c r="D22" i="3"/>
  <c r="F13" i="5" s="1"/>
  <c r="D30" i="3"/>
  <c r="F19" i="5" s="1"/>
  <c r="F36" i="3"/>
  <c r="H23" i="5" s="1"/>
  <c r="F46" i="3"/>
  <c r="H31" i="5" s="1"/>
  <c r="D51" i="3"/>
  <c r="F34" i="5" s="1"/>
  <c r="F57" i="3"/>
  <c r="H38" i="5" s="1"/>
  <c r="D60" i="3"/>
  <c r="F41" i="5" s="1"/>
  <c r="F62" i="3"/>
  <c r="H43" i="5" s="1"/>
  <c r="D67" i="3"/>
  <c r="F46" i="5" s="1"/>
  <c r="AH66" i="2"/>
  <c r="V66" i="2"/>
  <c r="Y74" i="2"/>
  <c r="AJ75" i="2"/>
  <c r="D82" i="3"/>
  <c r="F57" i="5" s="1"/>
  <c r="D83" i="3"/>
  <c r="F58" i="5" s="1"/>
  <c r="D84" i="3"/>
  <c r="F59" i="5" s="1"/>
  <c r="F86" i="3"/>
  <c r="H61" i="5" s="1"/>
  <c r="F91" i="3"/>
  <c r="H64" i="5" s="1"/>
  <c r="D101" i="3"/>
  <c r="F72" i="5" s="1"/>
  <c r="BC154" i="2"/>
  <c r="BC183" i="2"/>
  <c r="BC184" i="2"/>
  <c r="BC235" i="2"/>
  <c r="BC236" i="2"/>
  <c r="BC240" i="2"/>
  <c r="BC251" i="2"/>
  <c r="F60" i="3"/>
  <c r="H41" i="5" s="1"/>
  <c r="F68" i="3"/>
  <c r="H47" i="5" s="1"/>
  <c r="F76" i="3"/>
  <c r="H53" i="5" s="1"/>
  <c r="AH88" i="2"/>
  <c r="V88" i="2"/>
  <c r="Y96" i="2"/>
  <c r="F102" i="3"/>
  <c r="H73" i="5" s="1"/>
  <c r="BC150" i="2"/>
  <c r="BC163" i="2"/>
  <c r="BC195" i="2"/>
  <c r="BC252" i="2"/>
  <c r="BC263" i="2"/>
  <c r="BC306" i="2"/>
  <c r="BC354" i="2"/>
  <c r="BC355" i="2"/>
  <c r="BC465" i="2"/>
  <c r="F61" i="3"/>
  <c r="H42" i="5" s="1"/>
  <c r="F66" i="3"/>
  <c r="H45" i="5" s="1"/>
  <c r="F69" i="3"/>
  <c r="H48" i="5" s="1"/>
  <c r="F74" i="3"/>
  <c r="H51" i="5" s="1"/>
  <c r="D78" i="3"/>
  <c r="F55" i="5" s="1"/>
  <c r="F90" i="3"/>
  <c r="H63" i="5" s="1"/>
  <c r="F93" i="3"/>
  <c r="H66" i="5" s="1"/>
  <c r="BC133" i="2"/>
  <c r="BC140" i="2"/>
  <c r="BC146" i="2"/>
  <c r="BC153" i="2"/>
  <c r="BC166" i="2"/>
  <c r="BC179" i="2"/>
  <c r="BC198" i="2"/>
  <c r="BC205" i="2"/>
  <c r="BC206" i="2"/>
  <c r="BC211" i="2"/>
  <c r="BC273" i="2"/>
  <c r="BC279" i="2"/>
  <c r="BC302" i="2"/>
  <c r="BC373" i="2"/>
  <c r="F78" i="3"/>
  <c r="H55" i="5" s="1"/>
  <c r="BC204" i="2"/>
  <c r="BC230" i="2"/>
  <c r="BC248" i="2"/>
  <c r="BC378" i="2"/>
  <c r="BC406" i="2"/>
  <c r="AH90" i="2"/>
  <c r="V90" i="2"/>
  <c r="AI91" i="2"/>
  <c r="D99" i="3"/>
  <c r="F70" i="5" s="1"/>
  <c r="BC125" i="2"/>
  <c r="BC132" i="2"/>
  <c r="BC139" i="2"/>
  <c r="BC158" i="2"/>
  <c r="BC192" i="2"/>
  <c r="BC229" i="2"/>
  <c r="BC237" i="2"/>
  <c r="BC258" i="2"/>
  <c r="BC265" i="2"/>
  <c r="BC272" i="2"/>
  <c r="BC284" i="2"/>
  <c r="BC294" i="2"/>
  <c r="BC295" i="2"/>
  <c r="BC333" i="2"/>
  <c r="BC400" i="2"/>
  <c r="BC405" i="2"/>
  <c r="BC421" i="2"/>
  <c r="BC486" i="2"/>
  <c r="D92" i="3"/>
  <c r="F65" i="5" s="1"/>
  <c r="Y91" i="2"/>
  <c r="F100" i="3"/>
  <c r="H71" i="5" s="1"/>
  <c r="BC173" i="2"/>
  <c r="BC213" i="2"/>
  <c r="BC243" i="2"/>
  <c r="BC264" i="2"/>
  <c r="BC327" i="2"/>
  <c r="BC338" i="2"/>
  <c r="BC363" i="2"/>
  <c r="BC366" i="2"/>
  <c r="BC376" i="2"/>
  <c r="BC427" i="2"/>
  <c r="BC438" i="2"/>
  <c r="BC463" i="2"/>
  <c r="BC466" i="2"/>
  <c r="BC476" i="2"/>
  <c r="BC527" i="2"/>
  <c r="BC538" i="2"/>
  <c r="BC549" i="2"/>
  <c r="BC342" i="2"/>
  <c r="BC402" i="2"/>
  <c r="BC420" i="2"/>
  <c r="BC442" i="2"/>
  <c r="BC502" i="2"/>
  <c r="BC520" i="2"/>
  <c r="BC542" i="2"/>
  <c r="BC448" i="2"/>
  <c r="BC454" i="2"/>
  <c r="BC455" i="2"/>
  <c r="BC478" i="2"/>
  <c r="BC494" i="2"/>
  <c r="BC548" i="2"/>
  <c r="BC554" i="2"/>
  <c r="BC555" i="2"/>
  <c r="D85" i="3"/>
  <c r="F60" i="5" s="1"/>
  <c r="BC169" i="2"/>
  <c r="BC209" i="2"/>
  <c r="BC224" i="2"/>
  <c r="BC239" i="2"/>
  <c r="BC275" i="2"/>
  <c r="BC282" i="2"/>
  <c r="BC288" i="2"/>
  <c r="BC313" i="2"/>
  <c r="BC316" i="2"/>
  <c r="BC326" i="2"/>
  <c r="BC388" i="2"/>
  <c r="BC413" i="2"/>
  <c r="BC416" i="2"/>
  <c r="BC426" i="2"/>
  <c r="BC488" i="2"/>
  <c r="BC513" i="2"/>
  <c r="BC560" i="2"/>
  <c r="BC588" i="2"/>
  <c r="BC594" i="2"/>
  <c r="BC600" i="2"/>
  <c r="F97" i="3"/>
  <c r="H68" i="5" s="1"/>
  <c r="BC143" i="2"/>
  <c r="BC193" i="2"/>
  <c r="BC253" i="2"/>
  <c r="BC274" i="2"/>
  <c r="BC334" i="2"/>
  <c r="BC341" i="2"/>
  <c r="BC359" i="2"/>
  <c r="BC434" i="2"/>
  <c r="BC441" i="2"/>
  <c r="BC459" i="2"/>
  <c r="BC534" i="2"/>
  <c r="BC541" i="2"/>
  <c r="F82" i="3"/>
  <c r="H57" i="5" s="1"/>
  <c r="D86" i="3"/>
  <c r="F61" i="5" s="1"/>
  <c r="D91" i="3"/>
  <c r="F64" i="5" s="1"/>
  <c r="AH89" i="2"/>
  <c r="V89" i="2"/>
  <c r="AH97" i="2"/>
  <c r="D102" i="3"/>
  <c r="F73" i="5" s="1"/>
  <c r="BC159" i="2"/>
  <c r="BC223" i="2"/>
  <c r="BC245" i="2"/>
  <c r="BC259" i="2"/>
  <c r="BC287" i="2"/>
  <c r="BC299" i="2"/>
  <c r="BC312" i="2"/>
  <c r="BC323" i="2"/>
  <c r="BC371" i="2"/>
  <c r="BC387" i="2"/>
  <c r="BC399" i="2"/>
  <c r="BC412" i="2"/>
  <c r="BC423" i="2"/>
  <c r="BC471" i="2"/>
  <c r="BC487" i="2"/>
  <c r="BC499" i="2"/>
  <c r="BC512" i="2"/>
  <c r="BC523" i="2"/>
  <c r="BC570" i="2"/>
  <c r="BC615" i="2"/>
  <c r="BC562" i="2"/>
  <c r="BC587" i="2"/>
  <c r="F98" i="3"/>
  <c r="H69" i="5" s="1"/>
  <c r="BC574" i="2"/>
  <c r="BC575" i="2"/>
  <c r="BC604" i="2"/>
  <c r="BC605" i="2"/>
  <c r="BC289" i="2"/>
  <c r="BC303" i="2"/>
  <c r="BC324" i="2"/>
  <c r="BC332" i="2"/>
  <c r="BC339" i="2"/>
  <c r="BC353" i="2"/>
  <c r="BC374" i="2"/>
  <c r="BC382" i="2"/>
  <c r="BC389" i="2"/>
  <c r="BC403" i="2"/>
  <c r="BC424" i="2"/>
  <c r="BC432" i="2"/>
  <c r="BC439" i="2"/>
  <c r="BC453" i="2"/>
  <c r="BC474" i="2"/>
  <c r="BC482" i="2"/>
  <c r="BC489" i="2"/>
  <c r="BC503" i="2"/>
  <c r="BC524" i="2"/>
  <c r="BC532" i="2"/>
  <c r="BC539" i="2"/>
  <c r="BC553" i="2"/>
  <c r="BC609" i="2"/>
  <c r="BC579" i="2"/>
  <c r="BC597" i="2"/>
  <c r="BC603" i="2"/>
  <c r="BC572" i="2"/>
  <c r="BC578" i="2"/>
  <c r="BC584" i="2"/>
  <c r="BC585" i="2"/>
  <c r="BC602" i="2"/>
  <c r="BC619" i="2"/>
  <c r="BC293" i="2"/>
  <c r="BC314" i="2"/>
  <c r="BC322" i="2"/>
  <c r="BC329" i="2"/>
  <c r="BC343" i="2"/>
  <c r="BC364" i="2"/>
  <c r="BC372" i="2"/>
  <c r="BC379" i="2"/>
  <c r="BC393" i="2"/>
  <c r="BC414" i="2"/>
  <c r="BC422" i="2"/>
  <c r="BC429" i="2"/>
  <c r="BC443" i="2"/>
  <c r="BC464" i="2"/>
  <c r="BC472" i="2"/>
  <c r="BC479" i="2"/>
  <c r="BC493" i="2"/>
  <c r="BC514" i="2"/>
  <c r="BC522" i="2"/>
  <c r="BC529" i="2"/>
  <c r="BC543" i="2"/>
  <c r="BC564" i="2"/>
  <c r="BC589" i="2"/>
  <c r="BC607" i="2"/>
  <c r="BC613" i="2"/>
  <c r="D81" i="3"/>
  <c r="F56" i="5" s="1"/>
  <c r="D89" i="3"/>
  <c r="F62" i="5" s="1"/>
  <c r="D97" i="3"/>
  <c r="F68" i="5" s="1"/>
  <c r="V96" i="2"/>
  <c r="V97" i="2"/>
  <c r="BC583" i="2"/>
  <c r="BC618" i="2"/>
  <c r="AF24" i="2" l="1"/>
  <c r="AE83" i="2"/>
  <c r="AG16" i="2"/>
  <c r="AG25" i="2"/>
  <c r="AG89" i="2"/>
  <c r="AE98" i="2"/>
  <c r="AE90" i="2"/>
  <c r="AP64" i="2"/>
  <c r="AS64" i="2" s="1"/>
  <c r="AF56" i="2"/>
  <c r="AE26" i="2"/>
  <c r="AF89" i="2"/>
  <c r="AE66" i="2"/>
  <c r="AD81" i="2"/>
  <c r="AF80" i="2"/>
  <c r="AD17" i="2"/>
  <c r="AE99" i="2"/>
  <c r="AD41" i="2"/>
  <c r="AE74" i="2"/>
  <c r="AE75" i="2"/>
  <c r="AE58" i="2"/>
  <c r="AD65" i="2"/>
  <c r="AD57" i="2"/>
  <c r="AE16" i="2"/>
  <c r="AD73" i="2"/>
  <c r="AF49" i="2"/>
  <c r="AD42" i="2"/>
  <c r="AE88" i="2"/>
  <c r="AD18" i="2"/>
  <c r="AE51" i="2"/>
  <c r="AG57" i="2"/>
  <c r="AD19" i="2"/>
  <c r="AD34" i="2"/>
  <c r="AD25" i="2"/>
  <c r="AE56" i="2"/>
  <c r="AD35" i="2"/>
  <c r="AG10" i="2"/>
  <c r="AF8" i="2"/>
  <c r="AG41" i="2"/>
  <c r="AG40" i="2"/>
  <c r="AE82" i="2"/>
  <c r="AE67" i="2"/>
  <c r="AE24" i="2"/>
  <c r="AG33" i="2"/>
  <c r="AF83" i="2"/>
  <c r="AE18" i="2"/>
  <c r="AD89" i="2"/>
  <c r="AD9" i="2"/>
  <c r="AG82" i="2"/>
  <c r="AE8" i="2"/>
  <c r="AF81" i="2"/>
  <c r="AG81" i="2"/>
  <c r="AE27" i="2"/>
  <c r="AF59" i="2"/>
  <c r="AF9" i="2"/>
  <c r="AD33" i="2"/>
  <c r="AE64" i="2"/>
  <c r="AD83" i="2"/>
  <c r="AF40" i="2"/>
  <c r="AP72" i="2"/>
  <c r="AQ72" i="2" s="1"/>
  <c r="AE42" i="2"/>
  <c r="AD59" i="2"/>
  <c r="AG49" i="2"/>
  <c r="AE59" i="2"/>
  <c r="AG42" i="2"/>
  <c r="AD82" i="2"/>
  <c r="AG56" i="2"/>
  <c r="AD90" i="2"/>
  <c r="AG34" i="2"/>
  <c r="AF27" i="2"/>
  <c r="AD58" i="2"/>
  <c r="AG26" i="2"/>
  <c r="AG50" i="2"/>
  <c r="AE43" i="2"/>
  <c r="AG18" i="2"/>
  <c r="AE19" i="2"/>
  <c r="AD10" i="2"/>
  <c r="AG24" i="2"/>
  <c r="AE11" i="2"/>
  <c r="AF43" i="2"/>
  <c r="AF11" i="2"/>
  <c r="AF57" i="2"/>
  <c r="AD26" i="2"/>
  <c r="AE80" i="2"/>
  <c r="AG8" i="2"/>
  <c r="AG98" i="2"/>
  <c r="AG17" i="2"/>
  <c r="AF41" i="2"/>
  <c r="AG58" i="2"/>
  <c r="AE50" i="2"/>
  <c r="AD27" i="2"/>
  <c r="AE72" i="2"/>
  <c r="AG64" i="2"/>
  <c r="AG9" i="2"/>
  <c r="AE40" i="2"/>
  <c r="AD11" i="2"/>
  <c r="AF99" i="2"/>
  <c r="AF88" i="2"/>
  <c r="AE91" i="2"/>
  <c r="AF17" i="2"/>
  <c r="AF33" i="2"/>
  <c r="AG80" i="2"/>
  <c r="AE32" i="2"/>
  <c r="AE10" i="2"/>
  <c r="AF51" i="2"/>
  <c r="AG32" i="2"/>
  <c r="AG97" i="2"/>
  <c r="AF97" i="2"/>
  <c r="AF35" i="2"/>
  <c r="AF72" i="2"/>
  <c r="AG73" i="2"/>
  <c r="AF65" i="2"/>
  <c r="AD43" i="2"/>
  <c r="AD91" i="2"/>
  <c r="AG65" i="2"/>
  <c r="AD67" i="2"/>
  <c r="AF19" i="2"/>
  <c r="AG72" i="2"/>
  <c r="AF32" i="2"/>
  <c r="AD75" i="2"/>
  <c r="AF16" i="2"/>
  <c r="AE35" i="2"/>
  <c r="AF25" i="2"/>
  <c r="AE34" i="2"/>
  <c r="AD99" i="2"/>
  <c r="AD98" i="2"/>
  <c r="AD97" i="2"/>
  <c r="AF96" i="2"/>
  <c r="AG96" i="2"/>
  <c r="AE96" i="2"/>
  <c r="AG48" i="2"/>
  <c r="AD51" i="2"/>
  <c r="AF48" i="2"/>
  <c r="AD49" i="2"/>
  <c r="AD50" i="2"/>
  <c r="AE48" i="2"/>
  <c r="AP80" i="2"/>
  <c r="AP96" i="2"/>
  <c r="AG74" i="2"/>
  <c r="AF75" i="2"/>
  <c r="AP48" i="2"/>
  <c r="AD74" i="2"/>
  <c r="AF73" i="2"/>
  <c r="AP56" i="2"/>
  <c r="AP88" i="2"/>
  <c r="AP32" i="2"/>
  <c r="AG90" i="2"/>
  <c r="AG88" i="2"/>
  <c r="AP40" i="2"/>
  <c r="AF91" i="2"/>
  <c r="AP16" i="2"/>
  <c r="AP24" i="2"/>
  <c r="AG66" i="2"/>
  <c r="AF67" i="2"/>
  <c r="AF64" i="2"/>
  <c r="AD66" i="2"/>
  <c r="AP8" i="2"/>
  <c r="AR64" i="2" l="1"/>
  <c r="AW64" i="2" s="1"/>
  <c r="BE64" i="2" s="1"/>
  <c r="AO64" i="2" s="1"/>
  <c r="AL67" i="2" s="1"/>
  <c r="AT64" i="2"/>
  <c r="AZ64" i="2" s="1"/>
  <c r="BE66" i="2" s="1"/>
  <c r="AO66" i="2" s="1"/>
  <c r="AN67" i="2" s="1"/>
  <c r="AQ64" i="2"/>
  <c r="AV64" i="2" s="1"/>
  <c r="BD64" i="2" s="1"/>
  <c r="AN64" i="2" s="1"/>
  <c r="AL66" i="2" s="1"/>
  <c r="AS72" i="2"/>
  <c r="AV72" i="2" s="1"/>
  <c r="BD72" i="2" s="1"/>
  <c r="AN72" i="2" s="1"/>
  <c r="AL74" i="2" s="1"/>
  <c r="AR72" i="2"/>
  <c r="AU72" i="2" s="1"/>
  <c r="BC72" i="2" s="1"/>
  <c r="AM72" i="2" s="1"/>
  <c r="AT72" i="2"/>
  <c r="AX72" i="2" s="1"/>
  <c r="BD73" i="2" s="1"/>
  <c r="AN73" i="2" s="1"/>
  <c r="AM74" i="2" s="1"/>
  <c r="AT80" i="2"/>
  <c r="AQ80" i="2"/>
  <c r="AR80" i="2"/>
  <c r="AS80" i="2"/>
  <c r="AQ16" i="2"/>
  <c r="AT16" i="2"/>
  <c r="AS16" i="2"/>
  <c r="AR16" i="2"/>
  <c r="AT48" i="2"/>
  <c r="AS48" i="2"/>
  <c r="AQ48" i="2"/>
  <c r="AR48" i="2"/>
  <c r="AT96" i="2"/>
  <c r="AQ96" i="2"/>
  <c r="AR96" i="2"/>
  <c r="AS96" i="2"/>
  <c r="AQ32" i="2"/>
  <c r="AT32" i="2"/>
  <c r="AR32" i="2"/>
  <c r="AS32" i="2"/>
  <c r="AQ24" i="2"/>
  <c r="AT24" i="2"/>
  <c r="AS24" i="2"/>
  <c r="AR24" i="2"/>
  <c r="AT88" i="2"/>
  <c r="AR88" i="2"/>
  <c r="AQ88" i="2"/>
  <c r="AS88" i="2"/>
  <c r="AQ56" i="2"/>
  <c r="AS56" i="2"/>
  <c r="AR56" i="2"/>
  <c r="AT56" i="2"/>
  <c r="AQ8" i="2"/>
  <c r="AT8" i="2"/>
  <c r="AS8" i="2"/>
  <c r="AR8" i="2"/>
  <c r="AR40" i="2"/>
  <c r="AQ40" i="2"/>
  <c r="AT40" i="2"/>
  <c r="AS40" i="2"/>
  <c r="AY64" i="2" l="1"/>
  <c r="BE65" i="2" s="1"/>
  <c r="AO65" i="2" s="1"/>
  <c r="AM67" i="2" s="1"/>
  <c r="T67" i="2" s="1"/>
  <c r="AX64" i="2"/>
  <c r="BD65" i="2" s="1"/>
  <c r="AN65" i="2" s="1"/>
  <c r="AM66" i="2" s="1"/>
  <c r="T66" i="2" s="1"/>
  <c r="AU64" i="2"/>
  <c r="BC64" i="2" s="1"/>
  <c r="AM64" i="2" s="1"/>
  <c r="AZ72" i="2"/>
  <c r="BE74" i="2" s="1"/>
  <c r="AO74" i="2" s="1"/>
  <c r="AN75" i="2" s="1"/>
  <c r="AW72" i="2"/>
  <c r="BE72" i="2" s="1"/>
  <c r="AO72" i="2" s="1"/>
  <c r="AL75" i="2" s="1"/>
  <c r="AY72" i="2"/>
  <c r="BE73" i="2" s="1"/>
  <c r="AO73" i="2" s="1"/>
  <c r="AM75" i="2" s="1"/>
  <c r="AU40" i="2"/>
  <c r="BC40" i="2" s="1"/>
  <c r="AM40" i="2" s="1"/>
  <c r="AL41" i="2" s="1"/>
  <c r="AU56" i="2"/>
  <c r="BC56" i="2" s="1"/>
  <c r="AM56" i="2" s="1"/>
  <c r="AL57" i="2" s="1"/>
  <c r="AW56" i="2"/>
  <c r="BE56" i="2" s="1"/>
  <c r="AO56" i="2" s="1"/>
  <c r="AL59" i="2" s="1"/>
  <c r="AX80" i="2"/>
  <c r="BD81" i="2" s="1"/>
  <c r="AN81" i="2" s="1"/>
  <c r="AM82" i="2" s="1"/>
  <c r="AX40" i="2"/>
  <c r="BD41" i="2" s="1"/>
  <c r="AN41" i="2" s="1"/>
  <c r="AM42" i="2" s="1"/>
  <c r="AZ24" i="2"/>
  <c r="BE26" i="2" s="1"/>
  <c r="AO26" i="2" s="1"/>
  <c r="AN27" i="2" s="1"/>
  <c r="AZ32" i="2"/>
  <c r="BE34" i="2" s="1"/>
  <c r="AO34" i="2" s="1"/>
  <c r="AN35" i="2" s="1"/>
  <c r="AY32" i="2"/>
  <c r="BE33" i="2" s="1"/>
  <c r="AO33" i="2" s="1"/>
  <c r="AM35" i="2" s="1"/>
  <c r="AW48" i="2"/>
  <c r="BE48" i="2" s="1"/>
  <c r="AO48" i="2" s="1"/>
  <c r="AL51" i="2" s="1"/>
  <c r="AW24" i="2"/>
  <c r="BE24" i="2" s="1"/>
  <c r="AO24" i="2" s="1"/>
  <c r="AL27" i="2" s="1"/>
  <c r="AZ88" i="2"/>
  <c r="BE90" i="2" s="1"/>
  <c r="AO90" i="2" s="1"/>
  <c r="AN91" i="2" s="1"/>
  <c r="AW40" i="2"/>
  <c r="BE40" i="2" s="1"/>
  <c r="AO40" i="2" s="1"/>
  <c r="AL43" i="2" s="1"/>
  <c r="AZ48" i="2"/>
  <c r="BE50" i="2" s="1"/>
  <c r="AO50" i="2" s="1"/>
  <c r="AN51" i="2" s="1"/>
  <c r="AZ8" i="2"/>
  <c r="BE10" i="2" s="1"/>
  <c r="AO10" i="2" s="1"/>
  <c r="AN11" i="2" s="1"/>
  <c r="AZ16" i="2"/>
  <c r="BE18" i="2" s="1"/>
  <c r="AO18" i="2" s="1"/>
  <c r="AN19" i="2" s="1"/>
  <c r="AX32" i="2"/>
  <c r="BD33" i="2" s="1"/>
  <c r="AN33" i="2" s="1"/>
  <c r="AM34" i="2" s="1"/>
  <c r="AX48" i="2"/>
  <c r="BD49" i="2" s="1"/>
  <c r="AN49" i="2" s="1"/>
  <c r="AM50" i="2" s="1"/>
  <c r="AX8" i="2"/>
  <c r="BD9" i="2" s="1"/>
  <c r="AN9" i="2" s="1"/>
  <c r="AM10" i="2" s="1"/>
  <c r="AW80" i="2"/>
  <c r="BE80" i="2" s="1"/>
  <c r="AO80" i="2" s="1"/>
  <c r="AL83" i="2" s="1"/>
  <c r="AX88" i="2"/>
  <c r="BD89" i="2" s="1"/>
  <c r="AN89" i="2" s="1"/>
  <c r="AM90" i="2" s="1"/>
  <c r="AW96" i="2"/>
  <c r="BE96" i="2" s="1"/>
  <c r="AO96" i="2" s="1"/>
  <c r="AL99" i="2" s="1"/>
  <c r="AY56" i="2"/>
  <c r="BE57" i="2" s="1"/>
  <c r="AO57" i="2" s="1"/>
  <c r="AM59" i="2" s="1"/>
  <c r="AV56" i="2"/>
  <c r="BD56" i="2" s="1"/>
  <c r="AN56" i="2" s="1"/>
  <c r="AL58" i="2" s="1"/>
  <c r="AZ40" i="2"/>
  <c r="BE42" i="2" s="1"/>
  <c r="AO42" i="2" s="1"/>
  <c r="AN43" i="2" s="1"/>
  <c r="AV40" i="2"/>
  <c r="BD40" i="2" s="1"/>
  <c r="AN40" i="2" s="1"/>
  <c r="AL42" i="2" s="1"/>
  <c r="AV24" i="2"/>
  <c r="BD24" i="2" s="1"/>
  <c r="AN24" i="2" s="1"/>
  <c r="AL26" i="2" s="1"/>
  <c r="AX56" i="2"/>
  <c r="BD57" i="2" s="1"/>
  <c r="AN57" i="2" s="1"/>
  <c r="AM58" i="2" s="1"/>
  <c r="AU24" i="2"/>
  <c r="BC24" i="2" s="1"/>
  <c r="AM24" i="2" s="1"/>
  <c r="AL25" i="2" s="1"/>
  <c r="AV16" i="2"/>
  <c r="BD16" i="2" s="1"/>
  <c r="AN16" i="2" s="1"/>
  <c r="AL18" i="2" s="1"/>
  <c r="AY16" i="2"/>
  <c r="BE17" i="2" s="1"/>
  <c r="AO17" i="2" s="1"/>
  <c r="AM19" i="2" s="1"/>
  <c r="AV88" i="2"/>
  <c r="BD88" i="2" s="1"/>
  <c r="AN88" i="2" s="1"/>
  <c r="AL90" i="2" s="1"/>
  <c r="AX24" i="2"/>
  <c r="BD25" i="2" s="1"/>
  <c r="AN25" i="2" s="1"/>
  <c r="AM26" i="2" s="1"/>
  <c r="AW32" i="2"/>
  <c r="BE32" i="2" s="1"/>
  <c r="AO32" i="2" s="1"/>
  <c r="AL35" i="2" s="1"/>
  <c r="AZ96" i="2"/>
  <c r="BE98" i="2" s="1"/>
  <c r="AO98" i="2" s="1"/>
  <c r="AN99" i="2" s="1"/>
  <c r="AY48" i="2"/>
  <c r="BE49" i="2" s="1"/>
  <c r="AO49" i="2" s="1"/>
  <c r="AM51" i="2" s="1"/>
  <c r="AX16" i="2"/>
  <c r="BD17" i="2" s="1"/>
  <c r="AN17" i="2" s="1"/>
  <c r="AM18" i="2" s="1"/>
  <c r="AY40" i="2"/>
  <c r="BE41" i="2" s="1"/>
  <c r="AO41" i="2" s="1"/>
  <c r="AM43" i="2" s="1"/>
  <c r="AV32" i="2"/>
  <c r="BD32" i="2" s="1"/>
  <c r="AN32" i="2" s="1"/>
  <c r="AL34" i="2" s="1"/>
  <c r="AZ56" i="2"/>
  <c r="BE58" i="2" s="1"/>
  <c r="AO58" i="2" s="1"/>
  <c r="AN59" i="2" s="1"/>
  <c r="AU32" i="2"/>
  <c r="BC32" i="2" s="1"/>
  <c r="AM32" i="2" s="1"/>
  <c r="AL33" i="2" s="1"/>
  <c r="AU96" i="2"/>
  <c r="BC96" i="2" s="1"/>
  <c r="AM96" i="2" s="1"/>
  <c r="AL97" i="2" s="1"/>
  <c r="AZ80" i="2"/>
  <c r="BE82" i="2" s="1"/>
  <c r="AO82" i="2" s="1"/>
  <c r="AN83" i="2" s="1"/>
  <c r="AW8" i="2"/>
  <c r="BE8" i="2" s="1"/>
  <c r="AO8" i="2" s="1"/>
  <c r="AL11" i="2" s="1"/>
  <c r="AY88" i="2"/>
  <c r="BE89" i="2" s="1"/>
  <c r="AO89" i="2" s="1"/>
  <c r="AM91" i="2" s="1"/>
  <c r="AX96" i="2"/>
  <c r="BD97" i="2" s="1"/>
  <c r="AN97" i="2" s="1"/>
  <c r="AM98" i="2" s="1"/>
  <c r="AV96" i="2"/>
  <c r="BD96" i="2" s="1"/>
  <c r="AN96" i="2" s="1"/>
  <c r="AL98" i="2" s="1"/>
  <c r="AU48" i="2"/>
  <c r="AV80" i="2"/>
  <c r="BD80" i="2" s="1"/>
  <c r="AN80" i="2" s="1"/>
  <c r="AL82" i="2" s="1"/>
  <c r="AY96" i="2"/>
  <c r="BE97" i="2" s="1"/>
  <c r="AO97" i="2" s="1"/>
  <c r="AM99" i="2" s="1"/>
  <c r="AU16" i="2"/>
  <c r="BC16" i="2" s="1"/>
  <c r="AM16" i="2" s="1"/>
  <c r="AU80" i="2"/>
  <c r="BC80" i="2" s="1"/>
  <c r="AM80" i="2" s="1"/>
  <c r="AY80" i="2"/>
  <c r="BE81" i="2" s="1"/>
  <c r="AO81" i="2" s="1"/>
  <c r="AM83" i="2" s="1"/>
  <c r="AV8" i="2"/>
  <c r="BD8" i="2" s="1"/>
  <c r="AN8" i="2" s="1"/>
  <c r="AL10" i="2" s="1"/>
  <c r="AU8" i="2"/>
  <c r="AU88" i="2"/>
  <c r="AY24" i="2"/>
  <c r="BE25" i="2" s="1"/>
  <c r="AO25" i="2" s="1"/>
  <c r="AM27" i="2" s="1"/>
  <c r="AL73" i="2"/>
  <c r="AY8" i="2"/>
  <c r="BE9" i="2" s="1"/>
  <c r="AO9" i="2" s="1"/>
  <c r="AM11" i="2" s="1"/>
  <c r="AV48" i="2"/>
  <c r="BD48" i="2" s="1"/>
  <c r="AN48" i="2" s="1"/>
  <c r="AL50" i="2" s="1"/>
  <c r="AW16" i="2"/>
  <c r="BE16" i="2" s="1"/>
  <c r="AO16" i="2" s="1"/>
  <c r="AL19" i="2" s="1"/>
  <c r="AW88" i="2"/>
  <c r="BE88" i="2" s="1"/>
  <c r="AO88" i="2" s="1"/>
  <c r="AL91" i="2" s="1"/>
  <c r="BA64" i="2" l="1" a="1"/>
  <c r="BA64" i="2" s="1"/>
  <c r="T72" i="2"/>
  <c r="T74" i="2"/>
  <c r="T75" i="2"/>
  <c r="BA72" i="2" a="1"/>
  <c r="BA72" i="2" s="1"/>
  <c r="T73" i="2"/>
  <c r="T82" i="2"/>
  <c r="T35" i="2"/>
  <c r="T56" i="2"/>
  <c r="T27" i="2"/>
  <c r="T97" i="2"/>
  <c r="T43" i="2"/>
  <c r="T59" i="2"/>
  <c r="T58" i="2"/>
  <c r="T26" i="2"/>
  <c r="T50" i="2"/>
  <c r="T51" i="2"/>
  <c r="T42" i="2"/>
  <c r="T11" i="2"/>
  <c r="T91" i="2"/>
  <c r="T33" i="2"/>
  <c r="T98" i="2"/>
  <c r="T18" i="2"/>
  <c r="T99" i="2"/>
  <c r="T83" i="2"/>
  <c r="T34" i="2"/>
  <c r="T25" i="2"/>
  <c r="T10" i="2"/>
  <c r="T40" i="2"/>
  <c r="T90" i="2"/>
  <c r="T24" i="2"/>
  <c r="T57" i="2"/>
  <c r="BA32" i="2" a="1"/>
  <c r="BA32" i="2" s="1"/>
  <c r="BA40" i="2" a="1"/>
  <c r="BA40" i="2" s="1"/>
  <c r="T19" i="2"/>
  <c r="T32" i="2"/>
  <c r="BA56" i="2" a="1"/>
  <c r="BA56" i="2" s="1"/>
  <c r="T41" i="2"/>
  <c r="AL65" i="2"/>
  <c r="T65" i="2" s="1"/>
  <c r="T64" i="2"/>
  <c r="BA80" i="2" a="1"/>
  <c r="BA80" i="2" s="1"/>
  <c r="T80" i="2"/>
  <c r="AL81" i="2"/>
  <c r="T81" i="2" s="1"/>
  <c r="T96" i="2"/>
  <c r="AL17" i="2"/>
  <c r="T17" i="2" s="1"/>
  <c r="T16" i="2"/>
  <c r="BC48" i="2"/>
  <c r="AM48" i="2" s="1"/>
  <c r="BA48" i="2" a="1"/>
  <c r="BA48" i="2" s="1"/>
  <c r="BC88" i="2"/>
  <c r="AM88" i="2" s="1"/>
  <c r="BA88" i="2" a="1"/>
  <c r="BA88" i="2" s="1"/>
  <c r="BA16" i="2" a="1"/>
  <c r="BA16" i="2" s="1"/>
  <c r="BC8" i="2"/>
  <c r="AM8" i="2" s="1"/>
  <c r="BC6" i="2"/>
  <c r="BA24" i="2" a="1"/>
  <c r="BA24" i="2" s="1"/>
  <c r="BA8" i="2" a="1"/>
  <c r="BA8" i="2" s="1"/>
  <c r="BA96" i="2" a="1"/>
  <c r="BA96" i="2" s="1"/>
  <c r="S72" i="2" l="1"/>
  <c r="N72" i="2" s="1" a="1"/>
  <c r="N72" i="2" s="1"/>
  <c r="S75" i="2"/>
  <c r="M75" i="2" s="1" a="1"/>
  <c r="M75" i="2" s="1"/>
  <c r="S73" i="2"/>
  <c r="S74" i="2"/>
  <c r="M74" i="2" s="1" a="1"/>
  <c r="M74" i="2" s="1"/>
  <c r="W113" i="2" s="1"/>
  <c r="AB113" i="2" s="1"/>
  <c r="S26" i="2"/>
  <c r="K26" i="2" s="1" a="1"/>
  <c r="K26" i="2" s="1"/>
  <c r="U107" i="2" s="1"/>
  <c r="S24" i="2"/>
  <c r="L24" i="2" s="1" a="1"/>
  <c r="L24" i="2" s="1"/>
  <c r="S58" i="2"/>
  <c r="O58" i="2" s="1" a="1"/>
  <c r="O58" i="2" s="1"/>
  <c r="Y111" i="2" s="1"/>
  <c r="AA111" i="2" s="1"/>
  <c r="S42" i="2"/>
  <c r="M42" i="2" s="1" a="1"/>
  <c r="M42" i="2" s="1"/>
  <c r="W109" i="2" s="1"/>
  <c r="AB109" i="2" s="1"/>
  <c r="S40" i="2"/>
  <c r="N40" i="2" s="1" a="1"/>
  <c r="N40" i="2" s="1"/>
  <c r="S34" i="2"/>
  <c r="K34" i="2" s="1" a="1"/>
  <c r="K34" i="2" s="1"/>
  <c r="U108" i="2" s="1"/>
  <c r="S57" i="2"/>
  <c r="O57" i="2" s="1" a="1"/>
  <c r="O57" i="2" s="1"/>
  <c r="S25" i="2"/>
  <c r="K25" i="2" s="1" a="1"/>
  <c r="K25" i="2" s="1"/>
  <c r="S27" i="2"/>
  <c r="M27" i="2" s="1" a="1"/>
  <c r="M27" i="2" s="1"/>
  <c r="S33" i="2"/>
  <c r="O33" i="2" s="1" a="1"/>
  <c r="O33" i="2" s="1"/>
  <c r="S35" i="2"/>
  <c r="K35" i="2" s="1" a="1"/>
  <c r="K35" i="2" s="1"/>
  <c r="S43" i="2"/>
  <c r="N43" i="2" s="1" a="1"/>
  <c r="N43" i="2" s="1"/>
  <c r="S32" i="2"/>
  <c r="K32" i="2" s="1" a="1"/>
  <c r="K32" i="2" s="1"/>
  <c r="J37" i="3" s="1"/>
  <c r="J82" i="5" s="1"/>
  <c r="S41" i="2"/>
  <c r="M41" i="2" s="1" a="1"/>
  <c r="M41" i="2" s="1"/>
  <c r="S59" i="2"/>
  <c r="O59" i="2" s="1" a="1"/>
  <c r="O59" i="2" s="1"/>
  <c r="S56" i="2"/>
  <c r="K56" i="2" s="1" a="1"/>
  <c r="K56" i="2" s="1"/>
  <c r="J44" i="3" s="1"/>
  <c r="J84" i="5" s="1"/>
  <c r="S81" i="2"/>
  <c r="S80" i="2"/>
  <c r="S83" i="2"/>
  <c r="S82" i="2"/>
  <c r="AL9" i="2"/>
  <c r="T9" i="2" s="1"/>
  <c r="T8" i="2"/>
  <c r="AL49" i="2"/>
  <c r="T49" i="2" s="1"/>
  <c r="T48" i="2"/>
  <c r="S17" i="2"/>
  <c r="S16" i="2"/>
  <c r="S18" i="2"/>
  <c r="S19" i="2"/>
  <c r="S67" i="2"/>
  <c r="S65" i="2"/>
  <c r="S64" i="2"/>
  <c r="S66" i="2"/>
  <c r="T88" i="2"/>
  <c r="AL89" i="2"/>
  <c r="T89" i="2" s="1"/>
  <c r="S96" i="2"/>
  <c r="S99" i="2"/>
  <c r="S98" i="2"/>
  <c r="S97" i="2"/>
  <c r="J20" i="3" l="1"/>
  <c r="J77" i="5" s="1"/>
  <c r="M72" i="2" a="1"/>
  <c r="M72" i="2" s="1"/>
  <c r="L72" i="2" a="1"/>
  <c r="L72" i="2" s="1"/>
  <c r="R72" i="2"/>
  <c r="O72" i="2" a="1"/>
  <c r="O72" i="2" s="1"/>
  <c r="Q73" i="2"/>
  <c r="J73" i="2" s="1"/>
  <c r="K72" i="2" a="1"/>
  <c r="K72" i="2" s="1"/>
  <c r="J30" i="3" s="1"/>
  <c r="J80" i="5" s="1"/>
  <c r="K75" i="2" a="1"/>
  <c r="K75" i="2" s="1"/>
  <c r="L75" i="2" a="1"/>
  <c r="L75" i="2" s="1"/>
  <c r="N75" i="2" a="1"/>
  <c r="N75" i="2" s="1"/>
  <c r="R75" i="2"/>
  <c r="O75" i="2" a="1"/>
  <c r="O75" i="2" s="1"/>
  <c r="K74" i="2" a="1"/>
  <c r="K74" i="2" s="1"/>
  <c r="U113" i="2" s="1"/>
  <c r="R74" i="2"/>
  <c r="N74" i="2" a="1"/>
  <c r="N74" i="2" s="1"/>
  <c r="X113" i="2" s="1"/>
  <c r="O74" i="2" a="1"/>
  <c r="O74" i="2" s="1"/>
  <c r="Y113" i="2" s="1"/>
  <c r="AA113" i="2" s="1"/>
  <c r="R73" i="2"/>
  <c r="K73" i="2" a="1"/>
  <c r="K73" i="2" s="1"/>
  <c r="J76" i="3" s="1"/>
  <c r="J93" i="5" s="1"/>
  <c r="M73" i="2" a="1"/>
  <c r="M73" i="2" s="1"/>
  <c r="N73" i="2" a="1"/>
  <c r="N73" i="2" s="1"/>
  <c r="L73" i="2" a="1"/>
  <c r="L73" i="2" s="1"/>
  <c r="O73" i="2" a="1"/>
  <c r="O73" i="2" s="1"/>
  <c r="N26" i="2" a="1"/>
  <c r="N26" i="2" s="1"/>
  <c r="X107" i="2" s="1"/>
  <c r="O26" i="2" a="1"/>
  <c r="O26" i="2" s="1"/>
  <c r="Y107" i="2" s="1"/>
  <c r="AA107" i="2" s="1"/>
  <c r="M26" i="2" a="1"/>
  <c r="M26" i="2" s="1"/>
  <c r="W107" i="2" s="1"/>
  <c r="AB107" i="2" s="1"/>
  <c r="R26" i="2"/>
  <c r="L26" i="2" a="1"/>
  <c r="L26" i="2" s="1"/>
  <c r="V107" i="2" s="1"/>
  <c r="Z107" i="2" s="1"/>
  <c r="L74" i="2" a="1"/>
  <c r="L74" i="2" s="1"/>
  <c r="V113" i="2" s="1"/>
  <c r="Z113" i="2" s="1"/>
  <c r="K57" i="2" a="1"/>
  <c r="K57" i="2" s="1"/>
  <c r="J118" i="3" s="1"/>
  <c r="J105" i="5" s="1"/>
  <c r="R57" i="2"/>
  <c r="L57" i="2" a="1"/>
  <c r="L57" i="2" s="1"/>
  <c r="M57" i="2" a="1"/>
  <c r="M57" i="2" s="1"/>
  <c r="N57" i="2" a="1"/>
  <c r="N57" i="2" s="1"/>
  <c r="Q57" i="2"/>
  <c r="J57" i="2" s="1"/>
  <c r="O35" i="2" a="1"/>
  <c r="O35" i="2" s="1"/>
  <c r="K24" i="2" a="1"/>
  <c r="K24" i="2" s="1"/>
  <c r="J65" i="3" s="1"/>
  <c r="J90" i="5" s="1"/>
  <c r="M35" i="2" a="1"/>
  <c r="M35" i="2" s="1"/>
  <c r="L27" i="2" a="1"/>
  <c r="L27" i="2" s="1"/>
  <c r="R27" i="2"/>
  <c r="M24" i="2" a="1"/>
  <c r="M24" i="2" s="1"/>
  <c r="N24" i="2" a="1"/>
  <c r="N24" i="2" s="1"/>
  <c r="O24" i="2" a="1"/>
  <c r="O24" i="2" s="1"/>
  <c r="N27" i="2" a="1"/>
  <c r="N27" i="2" s="1"/>
  <c r="N32" i="2" a="1"/>
  <c r="N32" i="2" s="1"/>
  <c r="O27" i="2" a="1"/>
  <c r="O27" i="2" s="1"/>
  <c r="K27" i="2" a="1"/>
  <c r="K27" i="2" s="1"/>
  <c r="L40" i="2" a="1"/>
  <c r="L40" i="2" s="1"/>
  <c r="R58" i="2"/>
  <c r="R41" i="2"/>
  <c r="M58" i="2" a="1"/>
  <c r="M58" i="2" s="1"/>
  <c r="W111" i="2" s="1"/>
  <c r="AB111" i="2" s="1"/>
  <c r="K42" i="2" a="1"/>
  <c r="K42" i="2" s="1"/>
  <c r="U109" i="2" s="1"/>
  <c r="M40" i="2" a="1"/>
  <c r="M40" i="2" s="1"/>
  <c r="L42" i="2" a="1"/>
  <c r="L42" i="2" s="1"/>
  <c r="V109" i="2" s="1"/>
  <c r="Z109" i="2" s="1"/>
  <c r="L58" i="2" a="1"/>
  <c r="L58" i="2" s="1"/>
  <c r="V111" i="2" s="1"/>
  <c r="Z111" i="2" s="1"/>
  <c r="R24" i="2"/>
  <c r="K58" i="2" a="1"/>
  <c r="K58" i="2" s="1"/>
  <c r="U111" i="2" s="1"/>
  <c r="N42" i="2" a="1"/>
  <c r="N42" i="2" s="1"/>
  <c r="X109" i="2" s="1"/>
  <c r="L35" i="2" a="1"/>
  <c r="L35" i="2" s="1"/>
  <c r="O40" i="2" a="1"/>
  <c r="O40" i="2" s="1"/>
  <c r="N58" i="2" a="1"/>
  <c r="N58" i="2" s="1"/>
  <c r="X111" i="2" s="1"/>
  <c r="O42" i="2" a="1"/>
  <c r="O42" i="2" s="1"/>
  <c r="Y109" i="2" s="1"/>
  <c r="AA109" i="2" s="1"/>
  <c r="K41" i="2" a="1"/>
  <c r="K41" i="2" s="1"/>
  <c r="J72" i="3" s="1"/>
  <c r="J92" i="5" s="1"/>
  <c r="R42" i="2"/>
  <c r="N35" i="2" a="1"/>
  <c r="N35" i="2" s="1"/>
  <c r="K33" i="2" a="1"/>
  <c r="K33" i="2" s="1"/>
  <c r="J114" i="3" s="1"/>
  <c r="J104" i="5" s="1"/>
  <c r="R40" i="2"/>
  <c r="K40" i="2" a="1"/>
  <c r="K40" i="2" s="1"/>
  <c r="J23" i="3" s="1"/>
  <c r="J78" i="5" s="1"/>
  <c r="M33" i="2" a="1"/>
  <c r="M33" i="2" s="1"/>
  <c r="N59" i="2" a="1"/>
  <c r="N59" i="2" s="1"/>
  <c r="R59" i="2"/>
  <c r="O56" i="2" a="1"/>
  <c r="O56" i="2" s="1"/>
  <c r="M59" i="2" a="1"/>
  <c r="M59" i="2" s="1"/>
  <c r="L25" i="2" a="1"/>
  <c r="L25" i="2" s="1"/>
  <c r="K59" i="2" a="1"/>
  <c r="K59" i="2" s="1"/>
  <c r="L59" i="2" a="1"/>
  <c r="L59" i="2" s="1"/>
  <c r="N34" i="2" a="1"/>
  <c r="N34" i="2" s="1"/>
  <c r="X108" i="2" s="1"/>
  <c r="O34" i="2" a="1"/>
  <c r="O34" i="2" s="1"/>
  <c r="Y108" i="2" s="1"/>
  <c r="AA108" i="2" s="1"/>
  <c r="M34" i="2" a="1"/>
  <c r="M34" i="2" s="1"/>
  <c r="W108" i="2" s="1"/>
  <c r="AB108" i="2" s="1"/>
  <c r="R33" i="2"/>
  <c r="N25" i="2" a="1"/>
  <c r="N25" i="2" s="1"/>
  <c r="M56" i="2" a="1"/>
  <c r="M56" i="2" s="1"/>
  <c r="O25" i="2" a="1"/>
  <c r="O25" i="2" s="1"/>
  <c r="R56" i="2"/>
  <c r="R34" i="2"/>
  <c r="M25" i="2" a="1"/>
  <c r="M25" i="2" s="1"/>
  <c r="L34" i="2" a="1"/>
  <c r="L34" i="2" s="1"/>
  <c r="V108" i="2" s="1"/>
  <c r="Z108" i="2" s="1"/>
  <c r="L43" i="2" a="1"/>
  <c r="L43" i="2" s="1"/>
  <c r="R35" i="2"/>
  <c r="N33" i="2" a="1"/>
  <c r="N33" i="2" s="1"/>
  <c r="Q25" i="2"/>
  <c r="J25" i="2" s="1"/>
  <c r="L56" i="2" a="1"/>
  <c r="L56" i="2" s="1"/>
  <c r="L33" i="2" a="1"/>
  <c r="L33" i="2" s="1"/>
  <c r="R25" i="2"/>
  <c r="N56" i="2" a="1"/>
  <c r="N56" i="2" s="1"/>
  <c r="O43" i="2" a="1"/>
  <c r="O43" i="2" s="1"/>
  <c r="R43" i="2"/>
  <c r="L32" i="2" a="1"/>
  <c r="L32" i="2" s="1"/>
  <c r="O41" i="2" a="1"/>
  <c r="O41" i="2" s="1"/>
  <c r="M32" i="2" a="1"/>
  <c r="M32" i="2" s="1"/>
  <c r="N41" i="2" a="1"/>
  <c r="N41" i="2" s="1"/>
  <c r="O32" i="2" a="1"/>
  <c r="O32" i="2" s="1"/>
  <c r="Q33" i="2"/>
  <c r="J33" i="2" s="1"/>
  <c r="Q41" i="2"/>
  <c r="J41" i="2" s="1"/>
  <c r="R32" i="2"/>
  <c r="M43" i="2" a="1"/>
  <c r="M43" i="2" s="1"/>
  <c r="L41" i="2" a="1"/>
  <c r="L41" i="2" s="1"/>
  <c r="K43" i="2" a="1"/>
  <c r="K43" i="2" s="1"/>
  <c r="M81" i="2" a="1"/>
  <c r="M81" i="2" s="1"/>
  <c r="K81" i="2" a="1"/>
  <c r="K81" i="2" s="1"/>
  <c r="J55" i="3" s="1"/>
  <c r="J87" i="5" s="1"/>
  <c r="N81" i="2" a="1"/>
  <c r="N81" i="2" s="1"/>
  <c r="R81" i="2"/>
  <c r="L81" i="2" a="1"/>
  <c r="L81" i="2" s="1"/>
  <c r="Q81" i="2"/>
  <c r="J81" i="2" s="1"/>
  <c r="O81" i="2" a="1"/>
  <c r="O81" i="2" s="1"/>
  <c r="N99" i="2" a="1"/>
  <c r="N99" i="2" s="1"/>
  <c r="M99" i="2" a="1"/>
  <c r="M99" i="2" s="1"/>
  <c r="R99" i="2"/>
  <c r="O99" i="2" a="1"/>
  <c r="O99" i="2" s="1"/>
  <c r="K99" i="2" a="1"/>
  <c r="K99" i="2" s="1"/>
  <c r="L99" i="2" a="1"/>
  <c r="L99" i="2" s="1"/>
  <c r="R65" i="2"/>
  <c r="K65" i="2" a="1"/>
  <c r="K65" i="2" s="1"/>
  <c r="J111" i="3" s="1"/>
  <c r="J103" i="5" s="1"/>
  <c r="Q65" i="2"/>
  <c r="J65" i="2" s="1"/>
  <c r="O65" i="2" a="1"/>
  <c r="O65" i="2" s="1"/>
  <c r="L65" i="2" a="1"/>
  <c r="L65" i="2" s="1"/>
  <c r="N65" i="2" a="1"/>
  <c r="N65" i="2" s="1"/>
  <c r="M65" i="2" a="1"/>
  <c r="M65" i="2" s="1"/>
  <c r="O98" i="2" a="1"/>
  <c r="O98" i="2" s="1"/>
  <c r="Y116" i="2" s="1"/>
  <c r="AA116" i="2" s="1"/>
  <c r="L98" i="2" a="1"/>
  <c r="L98" i="2" s="1"/>
  <c r="V116" i="2" s="1"/>
  <c r="Z116" i="2" s="1"/>
  <c r="N98" i="2" a="1"/>
  <c r="N98" i="2" s="1"/>
  <c r="X116" i="2" s="1"/>
  <c r="M98" i="2" a="1"/>
  <c r="M98" i="2" s="1"/>
  <c r="W116" i="2" s="1"/>
  <c r="AB116" i="2" s="1"/>
  <c r="R98" i="2"/>
  <c r="K98" i="2" a="1"/>
  <c r="K98" i="2" s="1"/>
  <c r="U116" i="2" s="1"/>
  <c r="M66" i="2" a="1"/>
  <c r="M66" i="2" s="1"/>
  <c r="W112" i="2" s="1"/>
  <c r="AB112" i="2" s="1"/>
  <c r="L66" i="2" a="1"/>
  <c r="L66" i="2" s="1"/>
  <c r="V112" i="2" s="1"/>
  <c r="Z112" i="2" s="1"/>
  <c r="K66" i="2" a="1"/>
  <c r="K66" i="2" s="1"/>
  <c r="U112" i="2" s="1"/>
  <c r="O66" i="2" a="1"/>
  <c r="O66" i="2" s="1"/>
  <c r="Y112" i="2" s="1"/>
  <c r="AA112" i="2" s="1"/>
  <c r="R66" i="2"/>
  <c r="N66" i="2" a="1"/>
  <c r="N66" i="2" s="1"/>
  <c r="X112" i="2" s="1"/>
  <c r="M83" i="2" a="1"/>
  <c r="M83" i="2" s="1"/>
  <c r="L83" i="2" a="1"/>
  <c r="L83" i="2" s="1"/>
  <c r="O83" i="2" a="1"/>
  <c r="O83" i="2" s="1"/>
  <c r="N83" i="2" a="1"/>
  <c r="N83" i="2" s="1"/>
  <c r="K83" i="2" a="1"/>
  <c r="K83" i="2" s="1"/>
  <c r="R83" i="2"/>
  <c r="O80" i="2" a="1"/>
  <c r="O80" i="2" s="1"/>
  <c r="L80" i="2" a="1"/>
  <c r="L80" i="2" s="1"/>
  <c r="K80" i="2" a="1"/>
  <c r="K80" i="2" s="1"/>
  <c r="J107" i="3" s="1"/>
  <c r="J102" i="5" s="1"/>
  <c r="N80" i="2" a="1"/>
  <c r="N80" i="2" s="1"/>
  <c r="M80" i="2" a="1"/>
  <c r="M80" i="2" s="1"/>
  <c r="R80" i="2"/>
  <c r="O67" i="2" a="1"/>
  <c r="O67" i="2" s="1"/>
  <c r="L67" i="2" a="1"/>
  <c r="L67" i="2" s="1"/>
  <c r="R67" i="2"/>
  <c r="N67" i="2" a="1"/>
  <c r="N67" i="2" s="1"/>
  <c r="M67" i="2" a="1"/>
  <c r="M67" i="2" s="1"/>
  <c r="K67" i="2" a="1"/>
  <c r="K67" i="2" s="1"/>
  <c r="R19" i="2"/>
  <c r="K19" i="2" a="1"/>
  <c r="K19" i="2" s="1"/>
  <c r="O19" i="2" a="1"/>
  <c r="O19" i="2" s="1"/>
  <c r="L19" i="2" a="1"/>
  <c r="L19" i="2" s="1"/>
  <c r="N19" i="2" a="1"/>
  <c r="N19" i="2" s="1"/>
  <c r="M19" i="2" a="1"/>
  <c r="M19" i="2" s="1"/>
  <c r="K16" i="2" a="1"/>
  <c r="K16" i="2" s="1"/>
  <c r="J100" i="3" s="1"/>
  <c r="J100" i="5" s="1"/>
  <c r="R16" i="2"/>
  <c r="O16" i="2" a="1"/>
  <c r="O16" i="2" s="1"/>
  <c r="M16" i="2" a="1"/>
  <c r="M16" i="2" s="1"/>
  <c r="L16" i="2" a="1"/>
  <c r="L16" i="2" s="1"/>
  <c r="N16" i="2" a="1"/>
  <c r="N16" i="2" s="1"/>
  <c r="R17" i="2"/>
  <c r="K17" i="2" a="1"/>
  <c r="K17" i="2" s="1"/>
  <c r="J13" i="3" s="1"/>
  <c r="Q17" i="2"/>
  <c r="J17" i="2" s="1"/>
  <c r="M17" i="2" a="1"/>
  <c r="M17" i="2" s="1"/>
  <c r="O17" i="2" a="1"/>
  <c r="O17" i="2" s="1"/>
  <c r="L17" i="2" a="1"/>
  <c r="L17" i="2" s="1"/>
  <c r="N17" i="2" a="1"/>
  <c r="N17" i="2" s="1"/>
  <c r="M97" i="2" a="1"/>
  <c r="M97" i="2" s="1"/>
  <c r="O97" i="2" a="1"/>
  <c r="O97" i="2" s="1"/>
  <c r="N97" i="2" a="1"/>
  <c r="N97" i="2" s="1"/>
  <c r="R97" i="2"/>
  <c r="K97" i="2" a="1"/>
  <c r="K97" i="2" s="1"/>
  <c r="J62" i="3" s="1"/>
  <c r="J89" i="5" s="1"/>
  <c r="L97" i="2" a="1"/>
  <c r="L97" i="2" s="1"/>
  <c r="Q97" i="2"/>
  <c r="J97" i="2" s="1"/>
  <c r="S9" i="2"/>
  <c r="S8" i="2"/>
  <c r="S10" i="2"/>
  <c r="S11" i="2"/>
  <c r="R64" i="2"/>
  <c r="O64" i="2" a="1"/>
  <c r="O64" i="2" s="1"/>
  <c r="L64" i="2" a="1"/>
  <c r="L64" i="2" s="1"/>
  <c r="K64" i="2" a="1"/>
  <c r="K64" i="2" s="1"/>
  <c r="J51" i="3" s="1"/>
  <c r="J86" i="5" s="1"/>
  <c r="N64" i="2" a="1"/>
  <c r="N64" i="2" s="1"/>
  <c r="M64" i="2" a="1"/>
  <c r="M64" i="2" s="1"/>
  <c r="N96" i="2" a="1"/>
  <c r="N96" i="2" s="1"/>
  <c r="M96" i="2" a="1"/>
  <c r="M96" i="2" s="1"/>
  <c r="R96" i="2"/>
  <c r="O96" i="2" a="1"/>
  <c r="O96" i="2" s="1"/>
  <c r="L96" i="2" a="1"/>
  <c r="L96" i="2" s="1"/>
  <c r="K96" i="2" a="1"/>
  <c r="K96" i="2" s="1"/>
  <c r="J86" i="3" s="1"/>
  <c r="J96" i="5" s="1"/>
  <c r="M18" i="2" a="1"/>
  <c r="M18" i="2" s="1"/>
  <c r="W106" i="2" s="1"/>
  <c r="AB106" i="2" s="1"/>
  <c r="O18" i="2" a="1"/>
  <c r="O18" i="2" s="1"/>
  <c r="Y106" i="2" s="1"/>
  <c r="AA106" i="2" s="1"/>
  <c r="N18" i="2" a="1"/>
  <c r="N18" i="2" s="1"/>
  <c r="X106" i="2" s="1"/>
  <c r="L18" i="2" a="1"/>
  <c r="L18" i="2" s="1"/>
  <c r="V106" i="2" s="1"/>
  <c r="Z106" i="2" s="1"/>
  <c r="R18" i="2"/>
  <c r="K18" i="2" a="1"/>
  <c r="K18" i="2" s="1"/>
  <c r="U106" i="2" s="1"/>
  <c r="S91" i="2"/>
  <c r="S89" i="2"/>
  <c r="S88" i="2"/>
  <c r="S90" i="2"/>
  <c r="S51" i="2"/>
  <c r="S49" i="2"/>
  <c r="S48" i="2"/>
  <c r="S50" i="2"/>
  <c r="O82" i="2" a="1"/>
  <c r="O82" i="2" s="1"/>
  <c r="Y114" i="2" s="1"/>
  <c r="AA114" i="2" s="1"/>
  <c r="R82" i="2"/>
  <c r="L82" i="2" a="1"/>
  <c r="L82" i="2" s="1"/>
  <c r="V114" i="2" s="1"/>
  <c r="Z114" i="2" s="1"/>
  <c r="K82" i="2" a="1"/>
  <c r="K82" i="2" s="1"/>
  <c r="U114" i="2" s="1"/>
  <c r="M82" i="2" a="1"/>
  <c r="M82" i="2" s="1"/>
  <c r="W114" i="2" s="1"/>
  <c r="AB114" i="2" s="1"/>
  <c r="N82" i="2" a="1"/>
  <c r="N82" i="2" s="1"/>
  <c r="X114" i="2" s="1"/>
  <c r="J75" i="5" l="1"/>
  <c r="Q74" i="2"/>
  <c r="J74" i="2" s="1"/>
  <c r="K76" i="2" s="1"/>
  <c r="AC113" i="2"/>
  <c r="AC107" i="2"/>
  <c r="Q58" i="2"/>
  <c r="J58" i="2" s="1"/>
  <c r="K60" i="2" s="1"/>
  <c r="AC111" i="2"/>
  <c r="AC109" i="2"/>
  <c r="AC108" i="2"/>
  <c r="Q42" i="2"/>
  <c r="Q43" i="2" s="1"/>
  <c r="J43" i="2" s="1"/>
  <c r="Q26" i="2"/>
  <c r="Q27" i="2" s="1"/>
  <c r="J27" i="2" s="1"/>
  <c r="Q34" i="2"/>
  <c r="Q82" i="2"/>
  <c r="J82" i="2" s="1"/>
  <c r="K84" i="2" s="1"/>
  <c r="Q18" i="2"/>
  <c r="J18" i="2" s="1"/>
  <c r="K20" i="2" s="1"/>
  <c r="Q66" i="2"/>
  <c r="J66" i="2" s="1"/>
  <c r="K68" i="2" s="1"/>
  <c r="M50" i="2" a="1"/>
  <c r="M50" i="2" s="1"/>
  <c r="W110" i="2" s="1"/>
  <c r="AB110" i="2" s="1"/>
  <c r="L50" i="2" a="1"/>
  <c r="L50" i="2" s="1"/>
  <c r="V110" i="2" s="1"/>
  <c r="Z110" i="2" s="1"/>
  <c r="O50" i="2" a="1"/>
  <c r="O50" i="2" s="1"/>
  <c r="Y110" i="2" s="1"/>
  <c r="AA110" i="2" s="1"/>
  <c r="N50" i="2" a="1"/>
  <c r="N50" i="2" s="1"/>
  <c r="X110" i="2" s="1"/>
  <c r="K50" i="2" a="1"/>
  <c r="K50" i="2" s="1"/>
  <c r="U110" i="2" s="1"/>
  <c r="R50" i="2"/>
  <c r="M10" i="2" a="1"/>
  <c r="M10" i="2" s="1"/>
  <c r="W105" i="2" s="1"/>
  <c r="AB105" i="2" s="1"/>
  <c r="O10" i="2" a="1"/>
  <c r="O10" i="2" s="1"/>
  <c r="Y105" i="2" s="1"/>
  <c r="AA105" i="2" s="1"/>
  <c r="N10" i="2" a="1"/>
  <c r="N10" i="2" s="1"/>
  <c r="X105" i="2" s="1"/>
  <c r="L10" i="2" a="1"/>
  <c r="L10" i="2" s="1"/>
  <c r="V105" i="2" s="1"/>
  <c r="Z105" i="2" s="1"/>
  <c r="R10" i="2"/>
  <c r="K10" i="2" a="1"/>
  <c r="K10" i="2" s="1"/>
  <c r="U105" i="2" s="1"/>
  <c r="R48" i="2"/>
  <c r="L48" i="2" a="1"/>
  <c r="L48" i="2" s="1"/>
  <c r="K48" i="2" a="1"/>
  <c r="K48" i="2" s="1"/>
  <c r="O48" i="2" a="1"/>
  <c r="O48" i="2" s="1"/>
  <c r="M48" i="2" a="1"/>
  <c r="M48" i="2" s="1"/>
  <c r="N48" i="2" a="1"/>
  <c r="N48" i="2" s="1"/>
  <c r="K8" i="2" a="1"/>
  <c r="K8" i="2" s="1"/>
  <c r="J79" i="3" s="1"/>
  <c r="J94" i="5" s="1"/>
  <c r="R8" i="2"/>
  <c r="O8" i="2" a="1"/>
  <c r="O8" i="2" s="1"/>
  <c r="M8" i="2" a="1"/>
  <c r="M8" i="2" s="1"/>
  <c r="L8" i="2" a="1"/>
  <c r="L8" i="2" s="1"/>
  <c r="N8" i="2" a="1"/>
  <c r="N8" i="2" s="1"/>
  <c r="R49" i="2"/>
  <c r="K49" i="2" a="1"/>
  <c r="K49" i="2" s="1"/>
  <c r="J69" i="3" s="1"/>
  <c r="J91" i="5" s="1"/>
  <c r="N49" i="2" a="1"/>
  <c r="N49" i="2" s="1"/>
  <c r="L49" i="2" a="1"/>
  <c r="L49" i="2" s="1"/>
  <c r="Q49" i="2"/>
  <c r="J49" i="2" s="1"/>
  <c r="O49" i="2" a="1"/>
  <c r="O49" i="2" s="1"/>
  <c r="M49" i="2" a="1"/>
  <c r="M49" i="2" s="1"/>
  <c r="R9" i="2"/>
  <c r="K9" i="2" a="1"/>
  <c r="K9" i="2" s="1"/>
  <c r="Q9" i="2"/>
  <c r="J9" i="2" s="1"/>
  <c r="M9" i="2" a="1"/>
  <c r="M9" i="2" s="1"/>
  <c r="O9" i="2" a="1"/>
  <c r="O9" i="2" s="1"/>
  <c r="L9" i="2" a="1"/>
  <c r="L9" i="2" s="1"/>
  <c r="N9" i="2" a="1"/>
  <c r="N9" i="2" s="1"/>
  <c r="Q98" i="2"/>
  <c r="L51" i="2" a="1"/>
  <c r="L51" i="2" s="1"/>
  <c r="K51" i="2" a="1"/>
  <c r="K51" i="2" s="1"/>
  <c r="N51" i="2" a="1"/>
  <c r="N51" i="2" s="1"/>
  <c r="M51" i="2" a="1"/>
  <c r="M51" i="2" s="1"/>
  <c r="R51" i="2"/>
  <c r="O51" i="2" a="1"/>
  <c r="O51" i="2" s="1"/>
  <c r="AC106" i="2"/>
  <c r="AC116" i="2"/>
  <c r="AC114" i="2"/>
  <c r="K91" i="2" a="1"/>
  <c r="K91" i="2" s="1"/>
  <c r="R91" i="2"/>
  <c r="L91" i="2" a="1"/>
  <c r="L91" i="2" s="1"/>
  <c r="O91" i="2" a="1"/>
  <c r="O91" i="2" s="1"/>
  <c r="M91" i="2" a="1"/>
  <c r="M91" i="2" s="1"/>
  <c r="N91" i="2" a="1"/>
  <c r="N91" i="2" s="1"/>
  <c r="AC112" i="2"/>
  <c r="O90" i="2" a="1"/>
  <c r="O90" i="2" s="1"/>
  <c r="Y115" i="2" s="1"/>
  <c r="AA115" i="2" s="1"/>
  <c r="M90" i="2" a="1"/>
  <c r="M90" i="2" s="1"/>
  <c r="W115" i="2" s="1"/>
  <c r="AB115" i="2" s="1"/>
  <c r="L90" i="2" a="1"/>
  <c r="L90" i="2" s="1"/>
  <c r="V115" i="2" s="1"/>
  <c r="Z115" i="2" s="1"/>
  <c r="N90" i="2" a="1"/>
  <c r="N90" i="2" s="1"/>
  <c r="X115" i="2" s="1"/>
  <c r="R90" i="2"/>
  <c r="K90" i="2" a="1"/>
  <c r="K90" i="2" s="1"/>
  <c r="U115" i="2" s="1"/>
  <c r="K88" i="2" a="1"/>
  <c r="K88" i="2" s="1"/>
  <c r="J93" i="3" s="1"/>
  <c r="J98" i="5" s="1"/>
  <c r="R88" i="2"/>
  <c r="M88" i="2" a="1"/>
  <c r="M88" i="2" s="1"/>
  <c r="L88" i="2" a="1"/>
  <c r="L88" i="2" s="1"/>
  <c r="O88" i="2" a="1"/>
  <c r="O88" i="2" s="1"/>
  <c r="N88" i="2" a="1"/>
  <c r="N88" i="2" s="1"/>
  <c r="M89" i="2" a="1"/>
  <c r="M89" i="2" s="1"/>
  <c r="N89" i="2" a="1"/>
  <c r="N89" i="2" s="1"/>
  <c r="R89" i="2"/>
  <c r="Q89" i="2"/>
  <c r="J89" i="2" s="1"/>
  <c r="O89" i="2" a="1"/>
  <c r="O89" i="2" s="1"/>
  <c r="L89" i="2" a="1"/>
  <c r="L89" i="2" s="1"/>
  <c r="K89" i="2" a="1"/>
  <c r="K89" i="2" s="1"/>
  <c r="J58" i="3" s="1"/>
  <c r="J88" i="5" s="1"/>
  <c r="R11" i="2"/>
  <c r="K11" i="2" a="1"/>
  <c r="K11" i="2" s="1"/>
  <c r="O11" i="2" a="1"/>
  <c r="O11" i="2" s="1"/>
  <c r="L11" i="2" a="1"/>
  <c r="L11" i="2" s="1"/>
  <c r="N11" i="2" a="1"/>
  <c r="N11" i="2" s="1"/>
  <c r="M11" i="2" a="1"/>
  <c r="M11" i="2" s="1"/>
  <c r="J16" i="3" l="1"/>
  <c r="J76" i="5" s="1"/>
  <c r="J9" i="3"/>
  <c r="J74" i="5" s="1"/>
  <c r="Q75" i="2"/>
  <c r="J75" i="2" s="1"/>
  <c r="Q59" i="2"/>
  <c r="J59" i="2" s="1"/>
  <c r="J42" i="2"/>
  <c r="K44" i="2" s="1"/>
  <c r="J26" i="2"/>
  <c r="K28" i="2" s="1"/>
  <c r="Q19" i="2"/>
  <c r="J19" i="2" s="1"/>
  <c r="Q83" i="2"/>
  <c r="J83" i="2" s="1"/>
  <c r="J34" i="2"/>
  <c r="K36" i="2" s="1"/>
  <c r="Q35" i="2"/>
  <c r="J35" i="2" s="1"/>
  <c r="Q10" i="2"/>
  <c r="J10" i="2" s="1"/>
  <c r="K12" i="2" s="1"/>
  <c r="AC105" i="2"/>
  <c r="Q67" i="2"/>
  <c r="J67" i="2" s="1"/>
  <c r="J98" i="2"/>
  <c r="K100" i="2" s="1"/>
  <c r="Q99" i="2"/>
  <c r="J99" i="2" s="1"/>
  <c r="Q90" i="2"/>
  <c r="Q50" i="2"/>
  <c r="AC110" i="2"/>
  <c r="AC115" i="2"/>
  <c r="Q11" i="2" l="1"/>
  <c r="J11" i="2" s="1"/>
  <c r="AD112" i="2"/>
  <c r="AE112" i="2" s="1"/>
  <c r="AD105" i="2"/>
  <c r="AE105" i="2" s="1"/>
  <c r="AD114" i="2"/>
  <c r="AE114" i="2" s="1"/>
  <c r="AD113" i="2"/>
  <c r="AE113" i="2" s="1"/>
  <c r="AD115" i="2"/>
  <c r="AE115" i="2" s="1"/>
  <c r="AD110" i="2"/>
  <c r="AE110" i="2" s="1"/>
  <c r="AD106" i="2"/>
  <c r="AE106" i="2" s="1"/>
  <c r="J50" i="2"/>
  <c r="K52" i="2" s="1"/>
  <c r="Q51" i="2"/>
  <c r="J51" i="2" s="1"/>
  <c r="AD116" i="2"/>
  <c r="AE116" i="2" s="1"/>
  <c r="AD108" i="2"/>
  <c r="AE108" i="2" s="1"/>
  <c r="AD109" i="2"/>
  <c r="AE109" i="2" s="1"/>
  <c r="AD107" i="2"/>
  <c r="AE107" i="2" s="1"/>
  <c r="J90" i="2"/>
  <c r="K92" i="2" s="1"/>
  <c r="Q91" i="2"/>
  <c r="J91" i="2" s="1"/>
  <c r="AD111" i="2"/>
  <c r="AE111" i="2" s="1"/>
  <c r="K116" i="2" l="1" a="1"/>
  <c r="K116" i="2" s="1"/>
  <c r="J116" i="2" a="1"/>
  <c r="J116" i="2" s="1"/>
  <c r="L115" i="2" a="1"/>
  <c r="L115" i="2" s="1"/>
  <c r="K115" i="2" a="1"/>
  <c r="K115" i="2" s="1"/>
  <c r="J115" i="2" a="1"/>
  <c r="J115" i="2" s="1"/>
  <c r="L114" i="2" a="1"/>
  <c r="L114" i="2" s="1"/>
  <c r="K114" i="2" a="1"/>
  <c r="K114" i="2" s="1"/>
  <c r="J114" i="2" a="1"/>
  <c r="J114" i="2" s="1"/>
  <c r="M113" i="2" a="1"/>
  <c r="M113" i="2" s="1"/>
  <c r="K113" i="2" a="1"/>
  <c r="K113" i="2" s="1"/>
  <c r="J113" i="2" a="1"/>
  <c r="J113" i="2" s="1"/>
  <c r="O112" i="2" a="1"/>
  <c r="O112" i="2" s="1"/>
  <c r="J112" i="2" a="1"/>
  <c r="J112" i="2" s="1"/>
  <c r="I112" i="2" s="1"/>
  <c r="K112" i="2" a="1"/>
  <c r="K112" i="2" s="1"/>
  <c r="K111" i="2" a="1"/>
  <c r="K111" i="2" s="1"/>
  <c r="J111" i="2" a="1"/>
  <c r="J111" i="2" s="1"/>
  <c r="I111" i="2" s="1"/>
  <c r="J110" i="2" a="1"/>
  <c r="J110" i="2" s="1"/>
  <c r="I110" i="2" s="1"/>
  <c r="K110" i="2" a="1"/>
  <c r="K110" i="2" s="1"/>
  <c r="J109" i="2" a="1"/>
  <c r="J109" i="2" s="1"/>
  <c r="I109" i="2" s="1"/>
  <c r="K109" i="2" a="1"/>
  <c r="K109" i="2" s="1"/>
  <c r="K108" i="2" a="1"/>
  <c r="K108" i="2" s="1"/>
  <c r="J108" i="2" a="1"/>
  <c r="J108" i="2" s="1"/>
  <c r="I108" i="2" s="1"/>
  <c r="K107" i="2" a="1"/>
  <c r="K107" i="2" s="1"/>
  <c r="J107" i="2" a="1"/>
  <c r="J107" i="2" s="1"/>
  <c r="I107" i="2" s="1"/>
  <c r="J106" i="2" a="1"/>
  <c r="J106" i="2" s="1"/>
  <c r="I106" i="2" s="1"/>
  <c r="K106" i="2" a="1"/>
  <c r="K106" i="2" s="1"/>
  <c r="O105" i="2" a="1"/>
  <c r="O105" i="2" s="1"/>
  <c r="K105" i="2" a="1"/>
  <c r="K105" i="2" s="1"/>
  <c r="J105" i="2" a="1"/>
  <c r="J105" i="2" s="1"/>
  <c r="I105" i="2" s="1"/>
  <c r="N112" i="2" a="1"/>
  <c r="N112" i="2" s="1"/>
  <c r="L112" i="2" a="1"/>
  <c r="L112" i="2" s="1"/>
  <c r="M112" i="2" a="1"/>
  <c r="M112" i="2" s="1"/>
  <c r="M114" i="2" a="1"/>
  <c r="M114" i="2" s="1"/>
  <c r="M105" i="2" a="1"/>
  <c r="M105" i="2" s="1"/>
  <c r="N105" i="2" a="1"/>
  <c r="N105" i="2" s="1"/>
  <c r="L105" i="2" a="1"/>
  <c r="L105" i="2" s="1"/>
  <c r="O113" i="2" a="1"/>
  <c r="O113" i="2" s="1"/>
  <c r="N114" i="2" a="1"/>
  <c r="N114" i="2" s="1"/>
  <c r="N115" i="2" a="1"/>
  <c r="N115" i="2" s="1"/>
  <c r="N113" i="2" a="1"/>
  <c r="N113" i="2" s="1"/>
  <c r="O114" i="2" a="1"/>
  <c r="O114" i="2" s="1"/>
  <c r="M115" i="2" a="1"/>
  <c r="M115" i="2" s="1"/>
  <c r="L113" i="2" a="1"/>
  <c r="L113" i="2" s="1"/>
  <c r="O115" i="2" a="1"/>
  <c r="O115" i="2" s="1"/>
  <c r="M111" i="2" a="1"/>
  <c r="M111" i="2" s="1"/>
  <c r="L111" i="2" a="1"/>
  <c r="L111" i="2" s="1"/>
  <c r="N111" i="2" a="1"/>
  <c r="N111" i="2" s="1"/>
  <c r="O111" i="2" a="1"/>
  <c r="O111" i="2" s="1"/>
  <c r="M106" i="2" a="1"/>
  <c r="M106" i="2" s="1"/>
  <c r="L106" i="2" a="1"/>
  <c r="L106" i="2" s="1"/>
  <c r="N106" i="2" a="1"/>
  <c r="N106" i="2" s="1"/>
  <c r="O106" i="2" a="1"/>
  <c r="O106" i="2" s="1"/>
  <c r="L108" i="2" a="1"/>
  <c r="L108" i="2" s="1"/>
  <c r="N108" i="2" a="1"/>
  <c r="N108" i="2" s="1"/>
  <c r="M108" i="2" a="1"/>
  <c r="M108" i="2" s="1"/>
  <c r="O108" i="2" a="1"/>
  <c r="O108" i="2" s="1"/>
  <c r="N107" i="2" a="1"/>
  <c r="N107" i="2" s="1"/>
  <c r="L107" i="2" a="1"/>
  <c r="L107" i="2" s="1"/>
  <c r="O107" i="2" a="1"/>
  <c r="O107" i="2" s="1"/>
  <c r="M107" i="2" a="1"/>
  <c r="M107" i="2" s="1"/>
  <c r="O109" i="2" a="1"/>
  <c r="O109" i="2" s="1"/>
  <c r="L109" i="2" a="1"/>
  <c r="L109" i="2" s="1"/>
  <c r="N109" i="2" a="1"/>
  <c r="N109" i="2" s="1"/>
  <c r="M109" i="2" a="1"/>
  <c r="M109" i="2" s="1"/>
  <c r="M110" i="2" a="1"/>
  <c r="M110" i="2" s="1"/>
  <c r="O110" i="2" a="1"/>
  <c r="O110" i="2" s="1"/>
  <c r="L110" i="2" a="1"/>
  <c r="L110" i="2" s="1"/>
  <c r="N110" i="2" a="1"/>
  <c r="N110" i="2" s="1"/>
  <c r="M116" i="2" a="1"/>
  <c r="M116" i="2" s="1"/>
  <c r="O116" i="2" a="1"/>
  <c r="O116" i="2" s="1"/>
  <c r="N116" i="2" a="1"/>
  <c r="N116" i="2" s="1"/>
  <c r="L116" i="2" a="1"/>
  <c r="L116" i="2" s="1"/>
  <c r="I104" i="2" l="1"/>
  <c r="AP120" i="2" s="1" a="1"/>
  <c r="AP120" i="2" s="1"/>
  <c r="AP121" i="2" s="1"/>
  <c r="J48" i="3" s="1"/>
  <c r="J85" i="5" s="1"/>
  <c r="AS120" i="2" l="1" a="1"/>
  <c r="AS120" i="2" s="1"/>
  <c r="AS121" i="2" s="1"/>
  <c r="J90" i="3" s="1"/>
  <c r="J97" i="5" s="1"/>
  <c r="AR120" i="2" a="1"/>
  <c r="AR120" i="2" s="1"/>
  <c r="AR121" i="2" s="1"/>
  <c r="J97" i="3" s="1"/>
  <c r="J99" i="5" s="1"/>
  <c r="AN120" i="2" a="1"/>
  <c r="AN120" i="2" s="1"/>
  <c r="AN121" i="2" s="1"/>
  <c r="J41" i="3" s="1"/>
  <c r="AM120" i="2" a="1"/>
  <c r="AM120" i="2" s="1"/>
  <c r="AM121" i="2" s="1"/>
  <c r="J104" i="3" s="1"/>
  <c r="J101" i="5" s="1"/>
  <c r="AL120" i="2" a="1"/>
  <c r="AL120" i="2" s="1"/>
  <c r="AL121" i="2" s="1"/>
  <c r="J83" i="3" s="1"/>
  <c r="J95" i="5" s="1"/>
  <c r="AO120" i="2" a="1"/>
  <c r="AO120" i="2" s="1"/>
  <c r="AO121" i="2" s="1"/>
  <c r="J27" i="3" s="1"/>
  <c r="J79" i="5" s="1"/>
  <c r="AQ120" i="2" a="1"/>
  <c r="AQ120" i="2" s="1"/>
  <c r="AQ121" i="2" s="1"/>
  <c r="J34" i="3" s="1"/>
  <c r="J81" i="5" s="1"/>
  <c r="J83" i="5" l="1"/>
</calcChain>
</file>

<file path=xl/sharedStrings.xml><?xml version="1.0" encoding="utf-8"?>
<sst xmlns="http://schemas.openxmlformats.org/spreadsheetml/2006/main" count="5516" uniqueCount="448">
  <si>
    <t>VS OPPONENTS</t>
  </si>
  <si>
    <t>POINTS</t>
  </si>
  <si>
    <t xml:space="preserve"> DG x 10 + GF  vs otro 1 x 1</t>
  </si>
  <si>
    <t xml:space="preserve"> Pts x 10,000 + DG x 100 + GF  vs otros 2 x 2</t>
  </si>
  <si>
    <t>-0.5 / +0.5 tie-break adjustment</t>
  </si>
  <si>
    <t>TRUE if teams are tied on points, GF and GA in all combinations</t>
  </si>
  <si>
    <t>if still tied, check head-to-head</t>
  </si>
  <si>
    <t>Group A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</si>
  <si>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</si>
  <si>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</si>
  <si>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</si>
  <si>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</si>
  <si>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</si>
  <si>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</si>
  <si>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</si>
  <si>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</si>
  <si>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</si>
  <si>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</si>
  <si>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</si>
  <si>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</si>
  <si>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</si>
  <si>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</si>
  <si>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</si>
  <si>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</si>
  <si>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</si>
  <si>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</si>
  <si>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</si>
  <si>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</si>
  <si>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</si>
  <si>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</si>
  <si>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</si>
  <si>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</si>
  <si>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</si>
  <si>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</si>
  <si>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</si>
  <si>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</si>
  <si>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</si>
  <si>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</si>
  <si>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</si>
  <si>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</si>
  <si>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</si>
  <si>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Mexico City</t>
  </si>
  <si>
    <t>Pts</t>
  </si>
  <si>
    <t>GF</t>
  </si>
  <si>
    <t>GC</t>
  </si>
  <si>
    <t>sort low to high</t>
  </si>
  <si>
    <t>Rank</t>
  </si>
  <si>
    <t>Team</t>
  </si>
  <si>
    <t>DG</t>
  </si>
  <si>
    <t>Ag1</t>
  </si>
  <si>
    <t>Ag2</t>
  </si>
  <si>
    <t>Ag3</t>
  </si>
  <si>
    <t>Ag4</t>
  </si>
  <si>
    <t>Sp1</t>
  </si>
  <si>
    <t>Sp2</t>
  </si>
  <si>
    <t>Sp3</t>
  </si>
  <si>
    <t>Sp4</t>
  </si>
  <si>
    <t>T123</t>
  </si>
  <si>
    <t>T124</t>
  </si>
  <si>
    <t>T134</t>
  </si>
  <si>
    <t>T234</t>
  </si>
  <si>
    <t>Rk1</t>
  </si>
  <si>
    <t>Rk2</t>
  </si>
  <si>
    <t>Rk3</t>
  </si>
  <si>
    <t>Rk4</t>
  </si>
  <si>
    <t>T1234</t>
  </si>
  <si>
    <t>T12</t>
  </si>
  <si>
    <t>T13</t>
  </si>
  <si>
    <t>T14</t>
  </si>
  <si>
    <t>T23</t>
  </si>
  <si>
    <t>T24</t>
  </si>
  <si>
    <t>T34</t>
  </si>
  <si>
    <t>NoT</t>
  </si>
  <si>
    <t>sRk1</t>
  </si>
  <si>
    <t>sRk2</t>
  </si>
  <si>
    <t>sRk3</t>
  </si>
  <si>
    <t>sRk4</t>
  </si>
  <si>
    <t>Guadalajara</t>
  </si>
  <si>
    <t>x</t>
  </si>
  <si>
    <t>Atlanta</t>
  </si>
  <si>
    <t>Monterrey</t>
  </si>
  <si>
    <t>Group B</t>
  </si>
  <si>
    <t>Toronto</t>
  </si>
  <si>
    <t>San Francisco</t>
  </si>
  <si>
    <t>Vancouver</t>
  </si>
  <si>
    <t>Los Angeles</t>
  </si>
  <si>
    <t>Seattle</t>
  </si>
  <si>
    <t>Group C</t>
  </si>
  <si>
    <t>New Jersey</t>
  </si>
  <si>
    <t>Boston</t>
  </si>
  <si>
    <t>Philadelphia</t>
  </si>
  <si>
    <t>Miami</t>
  </si>
  <si>
    <t>Group D</t>
  </si>
  <si>
    <t>Group E</t>
  </si>
  <si>
    <t>Houston</t>
  </si>
  <si>
    <t>Kansas City</t>
  </si>
  <si>
    <t>Group F</t>
  </si>
  <si>
    <t>Dallas</t>
  </si>
  <si>
    <t>Group G</t>
  </si>
  <si>
    <t>Group H</t>
  </si>
  <si>
    <t>Group I</t>
  </si>
  <si>
    <t>Group J</t>
  </si>
  <si>
    <t>Group K</t>
  </si>
  <si>
    <t>Group L</t>
  </si>
  <si>
    <t>Ponderación</t>
  </si>
  <si>
    <t>Points</t>
  </si>
  <si>
    <t>Gfavor</t>
  </si>
  <si>
    <t xml:space="preserve">  +decimales</t>
  </si>
  <si>
    <t>Group</t>
  </si>
  <si>
    <t>3º Grpo</t>
  </si>
  <si>
    <t>Total</t>
  </si>
  <si>
    <t>Rkg</t>
  </si>
  <si>
    <t>Ubicación dentro del 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</si>
  <si>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</si>
  <si>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</si>
  <si>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</si>
  <si>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</si>
  <si>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</si>
  <si>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</si>
  <si>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</si>
  <si>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</si>
  <si>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</si>
  <si>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</si>
  <si>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</si>
  <si>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</si>
  <si>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</si>
  <si>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</si>
  <si>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</si>
  <si>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</si>
  <si>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</si>
  <si>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</si>
  <si>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</si>
  <si>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</si>
  <si>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VALOR</t>
  </si>
  <si>
    <t>Opción</t>
  </si>
  <si>
    <t>TOTAL</t>
  </si>
  <si>
    <t>INSTRUCTIONS</t>
  </si>
  <si>
    <t>Exact scoreline</t>
  </si>
  <si>
    <t>Correct result and correct goal difference</t>
  </si>
  <si>
    <t>Correct result only</t>
  </si>
  <si>
    <t>Incorrect result</t>
  </si>
  <si>
    <t>GROUP A</t>
  </si>
  <si>
    <t>GROUP G</t>
  </si>
  <si>
    <t>MEX</t>
  </si>
  <si>
    <t>Mexico (MEX)</t>
  </si>
  <si>
    <t>Belgium (BEL)</t>
  </si>
  <si>
    <t>BEL</t>
  </si>
  <si>
    <t>RSA</t>
  </si>
  <si>
    <t>South Africa (RSA)</t>
  </si>
  <si>
    <t>Egypt (EGY)</t>
  </si>
  <si>
    <t>EGY</t>
  </si>
  <si>
    <t>Points per correct team</t>
  </si>
  <si>
    <t>KOR</t>
  </si>
  <si>
    <t>Korea Republic (KOR)</t>
  </si>
  <si>
    <t>Iran (IRN)</t>
  </si>
  <si>
    <t>IRN</t>
  </si>
  <si>
    <t>Round of 16</t>
  </si>
  <si>
    <t>CZE</t>
  </si>
  <si>
    <t>Czechia (CZE)</t>
  </si>
  <si>
    <t>New Zealand (NZL)</t>
  </si>
  <si>
    <t>NZL</t>
  </si>
  <si>
    <t>Quarter-final</t>
  </si>
  <si>
    <t>Semi-final</t>
  </si>
  <si>
    <t>GROUP B</t>
  </si>
  <si>
    <t>GROUP H</t>
  </si>
  <si>
    <t>Finalist</t>
  </si>
  <si>
    <t>CAN</t>
  </si>
  <si>
    <t>Canada (CAN)</t>
  </si>
  <si>
    <t>Spain (ESP)</t>
  </si>
  <si>
    <t>ESP</t>
  </si>
  <si>
    <t>Champion</t>
  </si>
  <si>
    <t>BIH</t>
  </si>
  <si>
    <t>Bosnia and Herzegovina (BIH)</t>
  </si>
  <si>
    <t>Cape Verde (CPV)</t>
  </si>
  <si>
    <t>CPV</t>
  </si>
  <si>
    <t>QAT</t>
  </si>
  <si>
    <t>Qatar (QAT)</t>
  </si>
  <si>
    <t>Saudi Arabia (KSA)</t>
  </si>
  <si>
    <t>KSA</t>
  </si>
  <si>
    <t>SUI</t>
  </si>
  <si>
    <t>Switzerland (SUI)</t>
  </si>
  <si>
    <t>Uruguay (URU)</t>
  </si>
  <si>
    <t>URU</t>
  </si>
  <si>
    <t>GROUP C</t>
  </si>
  <si>
    <t>GROUP I</t>
  </si>
  <si>
    <t>BRA</t>
  </si>
  <si>
    <t>Brazil (BRA)</t>
  </si>
  <si>
    <t>France (FRA)</t>
  </si>
  <si>
    <t>FRA</t>
  </si>
  <si>
    <t>MAR</t>
  </si>
  <si>
    <t>Morocco (MAR)</t>
  </si>
  <si>
    <t>Senegal (SEN)</t>
  </si>
  <si>
    <t>SEN</t>
  </si>
  <si>
    <t>HAI</t>
  </si>
  <si>
    <t>Haiti (HAI)</t>
  </si>
  <si>
    <t>Iraq (IRQ)</t>
  </si>
  <si>
    <t>IRQ</t>
  </si>
  <si>
    <t>SCO</t>
  </si>
  <si>
    <t>Scotland (SCO)</t>
  </si>
  <si>
    <t>Norway (NOR)</t>
  </si>
  <si>
    <t>NOR</t>
  </si>
  <si>
    <t>GROUP D</t>
  </si>
  <si>
    <t>GROUP J</t>
  </si>
  <si>
    <t>USA</t>
  </si>
  <si>
    <t>Argentina (ARG)</t>
  </si>
  <si>
    <t>ARG</t>
  </si>
  <si>
    <t>PAR</t>
  </si>
  <si>
    <t>Paraguay (PAR)</t>
  </si>
  <si>
    <t>Algeria (ALG)</t>
  </si>
  <si>
    <t>ALG</t>
  </si>
  <si>
    <t>AUS</t>
  </si>
  <si>
    <t>Australia (AUS)</t>
  </si>
  <si>
    <t>Austria (AUT)</t>
  </si>
  <si>
    <t>AUT</t>
  </si>
  <si>
    <t>TUR</t>
  </si>
  <si>
    <t>Türkiye (TUR)</t>
  </si>
  <si>
    <t>Jordan (JOR)</t>
  </si>
  <si>
    <t>JOR</t>
  </si>
  <si>
    <t>GROUP E</t>
  </si>
  <si>
    <t>GROUP K</t>
  </si>
  <si>
    <t>GER</t>
  </si>
  <si>
    <t>Germany (GER)</t>
  </si>
  <si>
    <t>Portugal (POR)</t>
  </si>
  <si>
    <t>POR</t>
  </si>
  <si>
    <t>CUW</t>
  </si>
  <si>
    <t>Curaçao (CUW)</t>
  </si>
  <si>
    <t>DR Congo (COD)</t>
  </si>
  <si>
    <t>COD</t>
  </si>
  <si>
    <t>CIV</t>
  </si>
  <si>
    <t>Côte d'Ivoire (CIV)</t>
  </si>
  <si>
    <t>Uzbekistan (UZB)</t>
  </si>
  <si>
    <t>UZB</t>
  </si>
  <si>
    <t>ECU</t>
  </si>
  <si>
    <t>Ecuador (ECU)</t>
  </si>
  <si>
    <t>Colombia (COL)</t>
  </si>
  <si>
    <t>COL</t>
  </si>
  <si>
    <t>GROUP F</t>
  </si>
  <si>
    <t>GROUP L</t>
  </si>
  <si>
    <t>NED</t>
  </si>
  <si>
    <t>Netherlands (NED)</t>
  </si>
  <si>
    <t>England (ENG)</t>
  </si>
  <si>
    <t>ENG</t>
  </si>
  <si>
    <t>JPN</t>
  </si>
  <si>
    <t>Japan (JPN)</t>
  </si>
  <si>
    <t>Croatia (CRO)</t>
  </si>
  <si>
    <t>CRO</t>
  </si>
  <si>
    <t>SWE</t>
  </si>
  <si>
    <t>Sweden (SWE)</t>
  </si>
  <si>
    <t>Ghana (GHA)</t>
  </si>
  <si>
    <t>GHA</t>
  </si>
  <si>
    <t>TUN</t>
  </si>
  <si>
    <t>Tunisia (TUN)</t>
  </si>
  <si>
    <t>Panama (PAN)</t>
  </si>
  <si>
    <t>PAN</t>
  </si>
  <si>
    <t>Entrant name:</t>
  </si>
  <si>
    <t>2A</t>
  </si>
  <si>
    <t>2B</t>
  </si>
  <si>
    <t>1F</t>
  </si>
  <si>
    <t>2C</t>
  </si>
  <si>
    <t>3ABCDF</t>
  </si>
  <si>
    <t>3CDFGH</t>
  </si>
  <si>
    <t>3BEFIJ</t>
  </si>
  <si>
    <t>3AEHIJ</t>
  </si>
  <si>
    <t>1H</t>
  </si>
  <si>
    <t>2J</t>
  </si>
  <si>
    <t>2K</t>
  </si>
  <si>
    <t>2L</t>
  </si>
  <si>
    <t>1C</t>
  </si>
  <si>
    <t>2F</t>
  </si>
  <si>
    <t>2E</t>
  </si>
  <si>
    <t>2I</t>
  </si>
  <si>
    <t>3CEFHI</t>
  </si>
  <si>
    <t>3EHIJK</t>
  </si>
  <si>
    <t>3DEIJL</t>
  </si>
  <si>
    <t>3EFGIJ</t>
  </si>
  <si>
    <t>1J</t>
  </si>
  <si>
    <t>2H</t>
  </si>
  <si>
    <t>2D</t>
  </si>
  <si>
    <t>2G</t>
  </si>
  <si>
    <t>Entrant</t>
  </si>
  <si>
    <t>Stage</t>
  </si>
  <si>
    <t>Group stage</t>
  </si>
  <si>
    <t>GS-01</t>
  </si>
  <si>
    <t>GS-02</t>
  </si>
  <si>
    <t>GS-03</t>
  </si>
  <si>
    <t>GS-04</t>
  </si>
  <si>
    <t>GS-05</t>
  </si>
  <si>
    <t>GS-06</t>
  </si>
  <si>
    <t>GS-07</t>
  </si>
  <si>
    <t>GS-08</t>
  </si>
  <si>
    <t>GS-09</t>
  </si>
  <si>
    <t>GS-10</t>
  </si>
  <si>
    <t>GS-11</t>
  </si>
  <si>
    <t>GS-12</t>
  </si>
  <si>
    <t>GS-13</t>
  </si>
  <si>
    <t>GS-14</t>
  </si>
  <si>
    <t>GS-15</t>
  </si>
  <si>
    <t>GS-16</t>
  </si>
  <si>
    <t>GS-17</t>
  </si>
  <si>
    <t>GS-18</t>
  </si>
  <si>
    <t>GS-19</t>
  </si>
  <si>
    <t>GS-20</t>
  </si>
  <si>
    <t>GS-21</t>
  </si>
  <si>
    <t>GS-22</t>
  </si>
  <si>
    <t>GS-23</t>
  </si>
  <si>
    <t>GS-24</t>
  </si>
  <si>
    <t>GS-25</t>
  </si>
  <si>
    <t>GS-26</t>
  </si>
  <si>
    <t>GS-27</t>
  </si>
  <si>
    <t>GS-28</t>
  </si>
  <si>
    <t>GS-29</t>
  </si>
  <si>
    <t>GS-30</t>
  </si>
  <si>
    <t>GS-31</t>
  </si>
  <si>
    <t>GS-32</t>
  </si>
  <si>
    <t>GS-33</t>
  </si>
  <si>
    <t>GS-34</t>
  </si>
  <si>
    <t>GS-35</t>
  </si>
  <si>
    <t>GS-36</t>
  </si>
  <si>
    <t>GS-37</t>
  </si>
  <si>
    <t>GS-38</t>
  </si>
  <si>
    <t>GS-39</t>
  </si>
  <si>
    <t>GS-40</t>
  </si>
  <si>
    <t>GS-41</t>
  </si>
  <si>
    <t>GS-42</t>
  </si>
  <si>
    <t>GS-43</t>
  </si>
  <si>
    <t>GS-44</t>
  </si>
  <si>
    <t>GS-45</t>
  </si>
  <si>
    <t>GS-46</t>
  </si>
  <si>
    <t>GS-47</t>
  </si>
  <si>
    <t>GS-48</t>
  </si>
  <si>
    <t>GS-49</t>
  </si>
  <si>
    <t>GS-50</t>
  </si>
  <si>
    <t>GS-51</t>
  </si>
  <si>
    <t>GS-52</t>
  </si>
  <si>
    <t>GS-53</t>
  </si>
  <si>
    <t>GS-54</t>
  </si>
  <si>
    <t>GS-55</t>
  </si>
  <si>
    <t>GS-56</t>
  </si>
  <si>
    <t>GS-57</t>
  </si>
  <si>
    <t>GS-58</t>
  </si>
  <si>
    <t>GS-59</t>
  </si>
  <si>
    <t>GS-60</t>
  </si>
  <si>
    <t>GS-61</t>
  </si>
  <si>
    <t>GS-62</t>
  </si>
  <si>
    <t>GS-63</t>
  </si>
  <si>
    <t>GS-64</t>
  </si>
  <si>
    <t>GS-65</t>
  </si>
  <si>
    <t>GS-66</t>
  </si>
  <si>
    <t>GS-67</t>
  </si>
  <si>
    <t>GS-68</t>
  </si>
  <si>
    <t>GS-69</t>
  </si>
  <si>
    <t>GS-70</t>
  </si>
  <si>
    <t>GS-71</t>
  </si>
  <si>
    <t>GS-72</t>
  </si>
  <si>
    <t>Round of 32</t>
  </si>
  <si>
    <t>Instructions</t>
  </si>
  <si>
    <t>Third Place Table</t>
  </si>
  <si>
    <t>World Cup 2026 "Quiniela" Prediction League</t>
  </si>
  <si>
    <t>2. Go to the "Knock-Out Predictions" sheet and enter your knock-out picks in the grey cells. Make sure to use the official FIFA three-letter codes shown here.</t>
  </si>
  <si>
    <t>SCORING</t>
  </si>
  <si>
    <t>The player with the highest score at the end of the tournament</t>
  </si>
  <si>
    <t>will be crowned champion! Scoring is a little different this year…</t>
  </si>
  <si>
    <t>Group stage scoring</t>
  </si>
  <si>
    <t>Knock-out stage scoring</t>
  </si>
  <si>
    <t>COMPETITORS</t>
  </si>
  <si>
    <t>2. Enter the teams you predict to progress from the group stage and through each knock-out round in the grey cells</t>
  </si>
  <si>
    <t>NOTES:</t>
  </si>
  <si>
    <t>Team name:</t>
  </si>
  <si>
    <t>GA</t>
  </si>
  <si>
    <t>GD</t>
  </si>
  <si>
    <t>Pick ID</t>
  </si>
  <si>
    <t>R32-01</t>
  </si>
  <si>
    <t>R32-02</t>
  </si>
  <si>
    <t>R32-03</t>
  </si>
  <si>
    <t>R32-04</t>
  </si>
  <si>
    <t>R32-05</t>
  </si>
  <si>
    <t>R32-06</t>
  </si>
  <si>
    <t>R32-07</t>
  </si>
  <si>
    <t>R32-08</t>
  </si>
  <si>
    <t>R32-09</t>
  </si>
  <si>
    <t>R32-10</t>
  </si>
  <si>
    <t>R32-11</t>
  </si>
  <si>
    <t>R32-12</t>
  </si>
  <si>
    <t>R32-13</t>
  </si>
  <si>
    <t>R32-14</t>
  </si>
  <si>
    <t>R32-15</t>
  </si>
  <si>
    <t>R32-16</t>
  </si>
  <si>
    <t>R32-17</t>
  </si>
  <si>
    <t>R32-18</t>
  </si>
  <si>
    <t>R32-19</t>
  </si>
  <si>
    <t>R32-20</t>
  </si>
  <si>
    <t>R32-21</t>
  </si>
  <si>
    <t>R32-22</t>
  </si>
  <si>
    <t>R32-23</t>
  </si>
  <si>
    <t>R32-24</t>
  </si>
  <si>
    <t>R32-25</t>
  </si>
  <si>
    <t>R32-26</t>
  </si>
  <si>
    <t>R32-27</t>
  </si>
  <si>
    <t>R32-28</t>
  </si>
  <si>
    <t>R32-29</t>
  </si>
  <si>
    <t>R32-30</t>
  </si>
  <si>
    <t>R32-31</t>
  </si>
  <si>
    <t>R32-32</t>
  </si>
  <si>
    <t>R16-01</t>
  </si>
  <si>
    <t>R16-02</t>
  </si>
  <si>
    <t>R16-03</t>
  </si>
  <si>
    <t>R16-04</t>
  </si>
  <si>
    <t>R16-05</t>
  </si>
  <si>
    <t>R16-06</t>
  </si>
  <si>
    <t>R16-07</t>
  </si>
  <si>
    <t>R16-08</t>
  </si>
  <si>
    <t>R16-09</t>
  </si>
  <si>
    <t>R16-10</t>
  </si>
  <si>
    <t>R16-11</t>
  </si>
  <si>
    <t>R16-12</t>
  </si>
  <si>
    <t>R16-13</t>
  </si>
  <si>
    <t>R16-14</t>
  </si>
  <si>
    <t>R16-15</t>
  </si>
  <si>
    <t>R16-16</t>
  </si>
  <si>
    <t>QF-01</t>
  </si>
  <si>
    <t>QF-02</t>
  </si>
  <si>
    <t>QF-03</t>
  </si>
  <si>
    <t>QF-04</t>
  </si>
  <si>
    <t>QF-05</t>
  </si>
  <si>
    <t>QF-06</t>
  </si>
  <si>
    <t>QF-07</t>
  </si>
  <si>
    <t>QF-08</t>
  </si>
  <si>
    <t>SF-01</t>
  </si>
  <si>
    <t>SF-02</t>
  </si>
  <si>
    <t>SF-03</t>
  </si>
  <si>
    <t>SF-04</t>
  </si>
  <si>
    <t>F-01</t>
  </si>
  <si>
    <t>F-02</t>
  </si>
  <si>
    <t>WINNER</t>
  </si>
  <si>
    <t>Team A</t>
  </si>
  <si>
    <t>Team A Goals</t>
  </si>
  <si>
    <t>Team B</t>
  </si>
  <si>
    <t>Team B Goals</t>
  </si>
  <si>
    <t>Chosen team</t>
  </si>
  <si>
    <t>1. Enter your name and team name to the right</t>
  </si>
  <si>
    <t>1. Go to the "Group Stage Predictions" sheet and enter your predicted scores in the grey cells for every group-stage match.</t>
  </si>
  <si>
    <t>3. Add your name and team name in the "Knock-Out Predictions" sheet and return the completed Excel doc to rasherrington@gmail.com.</t>
  </si>
  <si>
    <t>1. Enter your score predictions in the grey cells. The sheet will calculate your predicted group rankings</t>
  </si>
  <si>
    <t>2. Once you have completed the group stage predictions, move to 'Knock-Out Predictions' where the Last 32 will have been automatically populated (including which 3rd place teams advance) based on your predictions below.</t>
  </si>
  <si>
    <t>- PLEASE ONLY USE THE OFFICIAL FIFA THREE-LETTER TEAM CODES SHOWN IN THE INSTRUCTIONS</t>
  </si>
  <si>
    <t>- The Last 32 below will be auto-completed from your group stage predictions, however you can overwrite these predictions if you wish.</t>
  </si>
  <si>
    <t>Edward Sherrington</t>
  </si>
  <si>
    <t>3 Lions on the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</si>
</sst>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-mmmm\ h\ AM/PM"/>
    <numFmt numFmtId="165" formatCode="0.00000"/>
    <numFmt numFmtId="166" formatCode="dd\-mm\ h:mm"/>
    <numFmt numFmtId="167" formatCode="0.0"/>
    <numFmt numFmtId="168" formatCode="_-* #,##0_-;\-* #,##0_-;_-* &quot;-&quot;??_-;_-@"/>
    <numFmt numFmtId="169" formatCode="dd/m\ h\ AM/PM"/>
    <numFmt numFmtId="170" formatCode=";;;"/>
    <numFmt numFmtId="171" formatCode="d/m\ hh:mm"/>
    <numFmt numFmtId="172" formatCode="dd\-mmm\ h:mm"/>
  </numFmts>
  <fonts count="51">
    <font>
      <sz val="12"/>
      <color rgb="FF000000"/>
      <name val="Arial"/>
      <scheme val="minor"/>
    </font>
    <font>
      <b/>
      <sz val="20"/>
      <color rgb="FF388600"/>
      <name val="Apple Casu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4"/>
      <color theme="1"/>
      <name val="Arial"/>
      <family val="2"/>
    </font>
    <font>
      <b/>
      <sz val="12"/>
      <color rgb="FF0000FF"/>
      <name val="Arial"/>
      <family val="2"/>
    </font>
    <font>
      <sz val="10"/>
      <color theme="1"/>
      <name val="Arial"/>
      <family val="2"/>
    </font>
    <font>
      <b/>
      <sz val="12"/>
      <color rgb="FFED0000"/>
      <name val="Arial"/>
      <family val="2"/>
    </font>
    <font>
      <b/>
      <sz val="12"/>
      <color rgb="FF388600"/>
      <name val="Arial"/>
      <family val="2"/>
    </font>
    <font>
      <b/>
      <sz val="12"/>
      <color rgb="FF007BB8"/>
      <name val="Arial"/>
      <family val="2"/>
    </font>
    <font>
      <b/>
      <sz val="12"/>
      <color rgb="FF002060"/>
      <name val="Arial"/>
      <family val="2"/>
    </font>
    <font>
      <b/>
      <sz val="12"/>
      <color rgb="FFFFFFFF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mo"/>
    </font>
    <font>
      <sz val="9"/>
      <color theme="1"/>
      <name val="Arimo"/>
    </font>
    <font>
      <sz val="12"/>
      <color theme="1"/>
      <name val="Arimo"/>
    </font>
    <font>
      <sz val="10"/>
      <color rgb="FF000000"/>
      <name val="Arial"/>
      <family val="2"/>
    </font>
    <font>
      <sz val="9"/>
      <color theme="0"/>
      <name val="Arimo"/>
    </font>
    <font>
      <sz val="9"/>
      <color rgb="FFFF0000"/>
      <name val="Arimo"/>
    </font>
    <font>
      <i/>
      <sz val="9"/>
      <color theme="1"/>
      <name val="Arimo"/>
    </font>
    <font>
      <b/>
      <sz val="9"/>
      <color theme="0"/>
      <name val="Arimo"/>
    </font>
    <font>
      <b/>
      <sz val="9"/>
      <color rgb="FF0000FF"/>
      <name val="Arimo"/>
    </font>
    <font>
      <b/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theme="1"/>
      <name val="Tahoma"/>
      <family val="2"/>
    </font>
    <font>
      <i/>
      <sz val="10"/>
      <color theme="1"/>
      <name val="Arial"/>
      <family val="2"/>
    </font>
    <font>
      <sz val="20"/>
      <color rgb="FF388600"/>
      <name val="Arial"/>
      <family val="2"/>
    </font>
    <font>
      <sz val="12"/>
      <color rgb="FF388600"/>
      <name val="Arial"/>
      <family val="2"/>
    </font>
    <font>
      <b/>
      <sz val="12"/>
      <color theme="1"/>
      <name val="Apple Casual"/>
      <family val="2"/>
    </font>
    <font>
      <sz val="12"/>
      <color rgb="FF000000"/>
      <name val="Arial"/>
      <family val="2"/>
      <scheme val="minor"/>
    </font>
    <font>
      <b/>
      <sz val="16"/>
      <color theme="1"/>
      <name val="Apple Casual"/>
      <family val="2"/>
    </font>
    <font>
      <sz val="16"/>
      <color rgb="FF000000"/>
      <name val="Arial"/>
      <family val="2"/>
      <scheme val="minor"/>
    </font>
    <font>
      <sz val="12"/>
      <color rgb="FF1F1F1F"/>
      <name val="Arial"/>
      <family val="2"/>
    </font>
    <font>
      <b/>
      <sz val="12"/>
      <color rgb="FF000000"/>
      <name val="Arial"/>
      <family val="2"/>
      <scheme val="minor"/>
    </font>
    <font>
      <b/>
      <sz val="12"/>
      <color theme="8"/>
      <name val="Arial"/>
      <family val="2"/>
    </font>
    <font>
      <sz val="12"/>
      <color theme="8"/>
      <name val="Arial"/>
      <family val="2"/>
    </font>
    <font>
      <sz val="12"/>
      <color theme="1" tint="0.499984740745262"/>
      <name val="Arial"/>
      <family val="2"/>
    </font>
    <font>
      <b/>
      <sz val="12"/>
      <color theme="1" tint="0.499984740745262"/>
      <name val="Arial"/>
      <family val="2"/>
    </font>
    <font>
      <b/>
      <sz val="12"/>
      <color theme="8"/>
      <name val="Arial"/>
      <family val="2"/>
      <scheme val="minor"/>
    </font>
    <font>
      <b/>
      <sz val="18"/>
      <color theme="8" tint="-0.249977111117893"/>
      <name val="Arial"/>
      <family val="2"/>
      <scheme val="minor"/>
    </font>
    <font>
      <sz val="12"/>
      <color theme="5"/>
      <name val="Arial"/>
      <family val="2"/>
      <scheme val="minor"/>
    </font>
    <font>
      <sz val="12"/>
      <color rgb="FF00206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color theme="1" tint="0.49998474074526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432FF"/>
        <bgColor rgb="FF0432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90"/>
        <bgColor rgb="FF000090"/>
      </patternFill>
    </fill>
    <fill>
      <patternFill patternType="solid">
        <fgColor rgb="FF0000FF"/>
        <bgColor rgb="FF0000FF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BFBFBF"/>
        <bgColor rgb="FFBFBFBF"/>
      </patternFill>
    </fill>
    <fill>
      <patternFill patternType="solid">
        <fgColor theme="8" tint="0.79998168889431442"/>
        <bgColor rgb="FFC92AC7"/>
      </patternFill>
    </fill>
    <fill>
      <patternFill patternType="solid">
        <fgColor theme="8" tint="0.79998168889431442"/>
        <bgColor rgb="FF92D05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rgb="FF76923C"/>
      </bottom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9"/>
    <xf numFmtId="9" fontId="35" fillId="0" borderId="9"/>
  </cellStyleXfs>
  <cellXfs count="247"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2" fillId="0" borderId="0" xfId="0" applyFont="1" applyBorder="1"/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vertical="center"/>
    </xf>
    <xf numFmtId="0" fontId="5" fillId="0" borderId="0" xfId="0" applyFont="1" applyBorder="1"/>
    <xf numFmtId="0" fontId="2" fillId="4" borderId="2" xfId="0" applyFont="1" applyFill="1" applyBorder="1"/>
    <xf numFmtId="165" fontId="2" fillId="4" borderId="2" xfId="0" applyNumberFormat="1" applyFont="1" applyFill="1" applyBorder="1"/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vertical="center"/>
    </xf>
    <xf numFmtId="20" fontId="2" fillId="4" borderId="2" xfId="0" applyNumberFormat="1" applyFont="1" applyFill="1" applyBorder="1"/>
    <xf numFmtId="0" fontId="5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/>
    </xf>
    <xf numFmtId="164" fontId="2" fillId="4" borderId="16" xfId="0" applyNumberFormat="1" applyFont="1" applyFill="1" applyBorder="1" applyAlignment="1">
      <alignment vertical="center"/>
    </xf>
    <xf numFmtId="0" fontId="2" fillId="4" borderId="16" xfId="0" applyFont="1" applyFill="1" applyBorder="1"/>
    <xf numFmtId="0" fontId="2" fillId="0" borderId="0" xfId="0" applyFont="1" applyBorder="1" applyAlignment="1">
      <alignment horizontal="center"/>
    </xf>
    <xf numFmtId="0" fontId="15" fillId="6" borderId="22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5" fillId="6" borderId="24" xfId="0" applyFont="1" applyFill="1" applyBorder="1" applyAlignment="1">
      <alignment horizontal="center" vertical="center"/>
    </xf>
    <xf numFmtId="20" fontId="2" fillId="4" borderId="17" xfId="0" applyNumberFormat="1" applyFont="1" applyFill="1" applyBorder="1"/>
    <xf numFmtId="0" fontId="2" fillId="4" borderId="25" xfId="0" applyFont="1" applyFill="1" applyBorder="1" applyAlignment="1">
      <alignment horizontal="left" vertical="center"/>
    </xf>
    <xf numFmtId="1" fontId="2" fillId="4" borderId="20" xfId="0" applyNumberFormat="1" applyFont="1" applyFill="1" applyBorder="1" applyAlignment="1">
      <alignment horizontal="center"/>
    </xf>
    <xf numFmtId="0" fontId="7" fillId="7" borderId="26" xfId="0" applyFont="1" applyFill="1" applyBorder="1"/>
    <xf numFmtId="0" fontId="7" fillId="7" borderId="20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167" fontId="2" fillId="4" borderId="2" xfId="0" applyNumberFormat="1" applyFont="1" applyFill="1" applyBorder="1"/>
    <xf numFmtId="2" fontId="2" fillId="4" borderId="2" xfId="0" applyNumberFormat="1" applyFont="1" applyFill="1" applyBorder="1"/>
    <xf numFmtId="2" fontId="2" fillId="4" borderId="20" xfId="0" applyNumberFormat="1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167" fontId="2" fillId="4" borderId="2" xfId="0" applyNumberFormat="1" applyFont="1" applyFill="1" applyBorder="1" applyAlignment="1">
      <alignment horizontal="center"/>
    </xf>
    <xf numFmtId="167" fontId="2" fillId="4" borderId="17" xfId="0" applyNumberFormat="1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2" fillId="4" borderId="17" xfId="0" applyNumberFormat="1" applyFont="1" applyFill="1" applyBorder="1" applyAlignment="1">
      <alignment horizontal="center"/>
    </xf>
    <xf numFmtId="1" fontId="2" fillId="4" borderId="25" xfId="0" applyNumberFormat="1" applyFont="1" applyFill="1" applyBorder="1" applyAlignment="1">
      <alignment horizontal="center"/>
    </xf>
    <xf numFmtId="0" fontId="7" fillId="7" borderId="2" xfId="0" applyFont="1" applyFill="1" applyBorder="1"/>
    <xf numFmtId="0" fontId="7" fillId="7" borderId="25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2" fontId="2" fillId="4" borderId="25" xfId="0" applyNumberFormat="1" applyFont="1" applyFill="1" applyBorder="1" applyAlignment="1">
      <alignment horizontal="center"/>
    </xf>
    <xf numFmtId="167" fontId="2" fillId="4" borderId="16" xfId="0" applyNumberFormat="1" applyFont="1" applyFill="1" applyBorder="1" applyAlignment="1">
      <alignment horizontal="center"/>
    </xf>
    <xf numFmtId="165" fontId="10" fillId="4" borderId="2" xfId="0" applyNumberFormat="1" applyFont="1" applyFill="1" applyBorder="1" applyAlignment="1">
      <alignment horizontal="center"/>
    </xf>
    <xf numFmtId="16" fontId="2" fillId="4" borderId="25" xfId="0" applyNumberFormat="1" applyFont="1" applyFill="1" applyBorder="1" applyAlignment="1">
      <alignment horizontal="left" vertical="center"/>
    </xf>
    <xf numFmtId="1" fontId="2" fillId="4" borderId="16" xfId="0" applyNumberFormat="1" applyFont="1" applyFill="1" applyBorder="1" applyAlignment="1">
      <alignment horizontal="center"/>
    </xf>
    <xf numFmtId="0" fontId="7" fillId="2" borderId="25" xfId="0" applyFont="1" applyFill="1" applyBorder="1"/>
    <xf numFmtId="0" fontId="7" fillId="2" borderId="17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1" fontId="2" fillId="4" borderId="28" xfId="0" applyNumberFormat="1" applyFont="1" applyFill="1" applyBorder="1" applyAlignment="1">
      <alignment horizontal="center"/>
    </xf>
    <xf numFmtId="0" fontId="7" fillId="2" borderId="29" xfId="0" applyFont="1" applyFill="1" applyBorder="1"/>
    <xf numFmtId="0" fontId="7" fillId="2" borderId="28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2" fontId="2" fillId="4" borderId="28" xfId="0" applyNumberFormat="1" applyFont="1" applyFill="1" applyBorder="1" applyAlignment="1">
      <alignment horizontal="center"/>
    </xf>
    <xf numFmtId="0" fontId="2" fillId="4" borderId="28" xfId="0" applyFont="1" applyFill="1" applyBorder="1"/>
    <xf numFmtId="0" fontId="2" fillId="4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167" fontId="2" fillId="4" borderId="29" xfId="0" applyNumberFormat="1" applyFont="1" applyFill="1" applyBorder="1" applyAlignment="1">
      <alignment horizontal="center"/>
    </xf>
    <xf numFmtId="167" fontId="2" fillId="4" borderId="27" xfId="0" applyNumberFormat="1" applyFont="1" applyFill="1" applyBorder="1" applyAlignment="1">
      <alignment horizontal="center"/>
    </xf>
    <xf numFmtId="165" fontId="2" fillId="4" borderId="27" xfId="0" applyNumberFormat="1" applyFont="1" applyFill="1" applyBorder="1" applyAlignment="1">
      <alignment horizontal="center"/>
    </xf>
    <xf numFmtId="165" fontId="2" fillId="4" borderId="30" xfId="0" applyNumberFormat="1" applyFont="1" applyFill="1" applyBorder="1" applyAlignment="1">
      <alignment horizontal="center"/>
    </xf>
    <xf numFmtId="16" fontId="2" fillId="4" borderId="29" xfId="0" applyNumberFormat="1" applyFont="1" applyFill="1" applyBorder="1"/>
    <xf numFmtId="0" fontId="2" fillId="4" borderId="28" xfId="0" applyFont="1" applyFill="1" applyBorder="1" applyAlignment="1">
      <alignment horizontal="left" vertical="center"/>
    </xf>
    <xf numFmtId="0" fontId="5" fillId="4" borderId="2" xfId="0" applyFont="1" applyFill="1" applyBorder="1"/>
    <xf numFmtId="16" fontId="10" fillId="4" borderId="16" xfId="0" applyNumberFormat="1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/>
    </xf>
    <xf numFmtId="0" fontId="7" fillId="7" borderId="19" xfId="0" applyFont="1" applyFill="1" applyBorder="1"/>
    <xf numFmtId="0" fontId="7" fillId="7" borderId="16" xfId="0" applyFont="1" applyFill="1" applyBorder="1"/>
    <xf numFmtId="16" fontId="10" fillId="4" borderId="17" xfId="0" applyNumberFormat="1" applyFont="1" applyFill="1" applyBorder="1" applyAlignment="1">
      <alignment horizontal="left" vertical="center"/>
    </xf>
    <xf numFmtId="0" fontId="7" fillId="2" borderId="16" xfId="0" applyFont="1" applyFill="1" applyBorder="1"/>
    <xf numFmtId="16" fontId="10" fillId="4" borderId="29" xfId="0" applyNumberFormat="1" applyFont="1" applyFill="1" applyBorder="1"/>
    <xf numFmtId="0" fontId="2" fillId="4" borderId="30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 wrapText="1"/>
    </xf>
    <xf numFmtId="20" fontId="2" fillId="4" borderId="2" xfId="0" applyNumberFormat="1" applyFont="1" applyFill="1" applyBorder="1" applyAlignment="1">
      <alignment wrapText="1"/>
    </xf>
    <xf numFmtId="0" fontId="16" fillId="4" borderId="2" xfId="0" applyFont="1" applyFill="1" applyBorder="1" applyAlignment="1">
      <alignment wrapText="1"/>
    </xf>
    <xf numFmtId="0" fontId="17" fillId="4" borderId="2" xfId="0" applyFont="1" applyFill="1" applyBorder="1" applyAlignment="1">
      <alignment horizontal="left" vertical="center" wrapText="1"/>
    </xf>
    <xf numFmtId="16" fontId="2" fillId="4" borderId="16" xfId="0" applyNumberFormat="1" applyFont="1" applyFill="1" applyBorder="1" applyAlignment="1">
      <alignment horizontal="left" vertical="center" wrapText="1"/>
    </xf>
    <xf numFmtId="16" fontId="2" fillId="4" borderId="17" xfId="0" applyNumberFormat="1" applyFont="1" applyFill="1" applyBorder="1" applyAlignment="1">
      <alignment horizontal="left" vertical="center"/>
    </xf>
    <xf numFmtId="0" fontId="2" fillId="4" borderId="29" xfId="0" applyFont="1" applyFill="1" applyBorder="1"/>
    <xf numFmtId="0" fontId="18" fillId="0" borderId="0" xfId="0" applyFont="1" applyBorder="1" applyAlignment="1">
      <alignment horizontal="center" vertical="center"/>
    </xf>
    <xf numFmtId="2" fontId="20" fillId="0" borderId="0" xfId="0" applyNumberFormat="1" applyFont="1" applyBorder="1"/>
    <xf numFmtId="2" fontId="21" fillId="0" borderId="0" xfId="0" applyNumberFormat="1" applyFont="1" applyBorder="1"/>
    <xf numFmtId="0" fontId="22" fillId="0" borderId="32" xfId="0" applyFont="1" applyBorder="1" applyAlignment="1">
      <alignment horizontal="center"/>
    </xf>
    <xf numFmtId="2" fontId="10" fillId="0" borderId="32" xfId="0" applyNumberFormat="1" applyFont="1" applyBorder="1" applyAlignment="1">
      <alignment horizontal="center"/>
    </xf>
    <xf numFmtId="2" fontId="19" fillId="0" borderId="0" xfId="0" applyNumberFormat="1" applyFont="1" applyBorder="1" applyAlignment="1">
      <alignment wrapText="1"/>
    </xf>
    <xf numFmtId="2" fontId="20" fillId="0" borderId="0" xfId="0" applyNumberFormat="1" applyFont="1" applyBorder="1" applyAlignment="1">
      <alignment wrapText="1"/>
    </xf>
    <xf numFmtId="168" fontId="23" fillId="7" borderId="33" xfId="0" applyNumberFormat="1" applyFont="1" applyFill="1" applyBorder="1" applyAlignment="1">
      <alignment horizontal="center"/>
    </xf>
    <xf numFmtId="2" fontId="6" fillId="8" borderId="26" xfId="0" applyNumberFormat="1" applyFont="1" applyFill="1" applyBorder="1" applyAlignment="1">
      <alignment horizontal="center"/>
    </xf>
    <xf numFmtId="168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68" fontId="20" fillId="0" borderId="0" xfId="0" applyNumberFormat="1" applyFont="1" applyBorder="1" applyAlignment="1">
      <alignment horizontal="center"/>
    </xf>
    <xf numFmtId="2" fontId="6" fillId="3" borderId="26" xfId="0" applyNumberFormat="1" applyFont="1" applyFill="1" applyBorder="1" applyAlignment="1">
      <alignment horizontal="center"/>
    </xf>
    <xf numFmtId="2" fontId="7" fillId="7" borderId="2" xfId="0" applyNumberFormat="1" applyFont="1" applyFill="1" applyBorder="1" applyAlignment="1">
      <alignment horizontal="left"/>
    </xf>
    <xf numFmtId="168" fontId="7" fillId="7" borderId="2" xfId="0" applyNumberFormat="1" applyFont="1" applyFill="1" applyBorder="1" applyAlignment="1">
      <alignment horizontal="left"/>
    </xf>
    <xf numFmtId="2" fontId="19" fillId="0" borderId="0" xfId="0" applyNumberFormat="1" applyFont="1" applyBorder="1" applyAlignment="1">
      <alignment horizontal="right"/>
    </xf>
    <xf numFmtId="0" fontId="20" fillId="0" borderId="0" xfId="0" applyFont="1" applyBorder="1"/>
    <xf numFmtId="168" fontId="24" fillId="0" borderId="0" xfId="0" applyNumberFormat="1" applyFont="1" applyBorder="1"/>
    <xf numFmtId="168" fontId="10" fillId="4" borderId="2" xfId="0" applyNumberFormat="1" applyFont="1" applyFill="1" applyBorder="1"/>
    <xf numFmtId="2" fontId="19" fillId="0" borderId="0" xfId="0" applyNumberFormat="1" applyFont="1" applyBorder="1" applyAlignment="1">
      <alignment horizontal="center"/>
    </xf>
    <xf numFmtId="2" fontId="25" fillId="0" borderId="0" xfId="0" applyNumberFormat="1" applyFont="1" applyBorder="1"/>
    <xf numFmtId="2" fontId="6" fillId="2" borderId="26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left"/>
    </xf>
    <xf numFmtId="168" fontId="7" fillId="2" borderId="2" xfId="0" applyNumberFormat="1" applyFont="1" applyFill="1" applyBorder="1" applyAlignment="1">
      <alignment horizontal="left"/>
    </xf>
    <xf numFmtId="2" fontId="26" fillId="0" borderId="0" xfId="0" applyNumberFormat="1" applyFont="1" applyBorder="1" applyAlignment="1">
      <alignment horizontal="center"/>
    </xf>
    <xf numFmtId="2" fontId="27" fillId="0" borderId="0" xfId="0" applyNumberFormat="1" applyFont="1" applyBorder="1" applyAlignment="1">
      <alignment horizontal="center"/>
    </xf>
    <xf numFmtId="0" fontId="28" fillId="0" borderId="18" xfId="0" applyFont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28" fillId="0" borderId="34" xfId="0" applyFont="1" applyBorder="1" applyAlignment="1">
      <alignment horizontal="center" vertical="center" wrapText="1"/>
    </xf>
    <xf numFmtId="0" fontId="5" fillId="4" borderId="18" xfId="0" applyFont="1" applyFill="1" applyBorder="1"/>
    <xf numFmtId="1" fontId="29" fillId="0" borderId="18" xfId="0" applyNumberFormat="1" applyFont="1" applyBorder="1" applyAlignment="1">
      <alignment horizontal="center" vertical="top" shrinkToFit="1"/>
    </xf>
    <xf numFmtId="0" fontId="30" fillId="0" borderId="18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/>
    </xf>
    <xf numFmtId="0" fontId="2" fillId="0" borderId="31" xfId="0" applyFont="1" applyBorder="1"/>
    <xf numFmtId="0" fontId="1" fillId="0" borderId="0" xfId="0" applyFont="1" applyBorder="1"/>
    <xf numFmtId="0" fontId="32" fillId="0" borderId="0" xfId="0" applyFont="1" applyBorder="1"/>
    <xf numFmtId="0" fontId="33" fillId="0" borderId="0" xfId="0" applyFont="1" applyBorder="1"/>
    <xf numFmtId="169" fontId="2" fillId="4" borderId="2" xfId="0" applyNumberFormat="1" applyFont="1" applyFill="1" applyBorder="1" applyAlignment="1">
      <alignment horizontal="center" vertical="center" wrapText="1"/>
    </xf>
    <xf numFmtId="170" fontId="31" fillId="0" borderId="0" xfId="0" applyNumberFormat="1" applyFont="1" applyBorder="1"/>
    <xf numFmtId="0" fontId="2" fillId="0" borderId="35" xfId="0" applyFont="1" applyBorder="1"/>
    <xf numFmtId="0" fontId="2" fillId="0" borderId="0" xfId="0" applyFont="1" applyBorder="1" applyAlignment="1">
      <alignment horizontal="center" vertical="center"/>
    </xf>
    <xf numFmtId="16" fontId="2" fillId="4" borderId="2" xfId="0" applyNumberFormat="1" applyFont="1" applyFill="1" applyBorder="1" applyAlignment="1">
      <alignment horizontal="left" vertical="center"/>
    </xf>
    <xf numFmtId="0" fontId="2" fillId="0" borderId="36" xfId="0" applyFont="1" applyBorder="1"/>
    <xf numFmtId="0" fontId="2" fillId="4" borderId="27" xfId="0" applyFont="1" applyFill="1" applyBorder="1" applyAlignment="1">
      <alignment horizontal="left" vertical="center"/>
    </xf>
    <xf numFmtId="0" fontId="3" fillId="0" borderId="37" xfId="0" applyFont="1" applyBorder="1"/>
    <xf numFmtId="0" fontId="31" fillId="0" borderId="35" xfId="0" applyFont="1" applyBorder="1" applyAlignment="1">
      <alignment horizontal="center" vertical="center"/>
    </xf>
    <xf numFmtId="0" fontId="3" fillId="0" borderId="35" xfId="0" applyFont="1" applyBorder="1"/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/>
    <xf numFmtId="0" fontId="3" fillId="0" borderId="38" xfId="0" applyFont="1" applyBorder="1"/>
    <xf numFmtId="170" fontId="2" fillId="0" borderId="0" xfId="0" applyNumberFormat="1" applyFont="1" applyBorder="1"/>
    <xf numFmtId="0" fontId="8" fillId="0" borderId="0" xfId="0" applyFont="1" applyBorder="1" applyAlignment="1">
      <alignment horizontal="center" vertical="center"/>
    </xf>
    <xf numFmtId="0" fontId="34" fillId="0" borderId="0" xfId="0" applyFont="1" applyBorder="1"/>
    <xf numFmtId="9" fontId="0" fillId="0" borderId="0" xfId="1" applyFont="1" applyBorder="1"/>
    <xf numFmtId="9" fontId="0" fillId="0" borderId="0" xfId="0" applyNumberFormat="1" applyBorder="1"/>
    <xf numFmtId="172" fontId="2" fillId="4" borderId="2" xfId="0" applyNumberFormat="1" applyFont="1" applyFill="1" applyBorder="1" applyAlignment="1">
      <alignment horizontal="center" vertical="center" wrapText="1"/>
    </xf>
    <xf numFmtId="0" fontId="36" fillId="0" borderId="0" xfId="0" applyFont="1" applyBorder="1"/>
    <xf numFmtId="0" fontId="37" fillId="0" borderId="0" xfId="0" applyFont="1" applyBorder="1"/>
    <xf numFmtId="0" fontId="5" fillId="5" borderId="27" xfId="0" applyFont="1" applyFill="1" applyBorder="1" applyAlignment="1" applyProtection="1">
      <alignment horizontal="center" vertical="center"/>
      <protection locked="0"/>
    </xf>
    <xf numFmtId="0" fontId="5" fillId="5" borderId="28" xfId="0" applyFont="1" applyFill="1" applyBorder="1" applyAlignment="1" applyProtection="1">
      <alignment horizontal="center" vertical="center"/>
      <protection locked="0"/>
    </xf>
    <xf numFmtId="0" fontId="5" fillId="5" borderId="30" xfId="0" applyFont="1" applyFill="1" applyBorder="1" applyAlignment="1" applyProtection="1">
      <alignment horizontal="center" vertical="center"/>
      <protection locked="0"/>
    </xf>
    <xf numFmtId="0" fontId="5" fillId="5" borderId="29" xfId="0" applyFont="1" applyFill="1" applyBorder="1" applyAlignment="1" applyProtection="1">
      <alignment horizontal="center" vertical="center"/>
      <protection locked="0"/>
    </xf>
    <xf numFmtId="0" fontId="5" fillId="5" borderId="28" xfId="0" applyFont="1" applyFill="1" applyBorder="1" applyAlignment="1" applyProtection="1">
      <alignment horizontal="center"/>
      <protection locked="0"/>
    </xf>
    <xf numFmtId="0" fontId="5" fillId="5" borderId="18" xfId="0" applyFont="1" applyFill="1" applyBorder="1" applyAlignment="1" applyProtection="1">
      <alignment horizontal="center"/>
      <protection locked="0"/>
    </xf>
    <xf numFmtId="0" fontId="18" fillId="5" borderId="28" xfId="0" applyFont="1" applyFill="1" applyBorder="1" applyAlignment="1" applyProtection="1">
      <alignment horizontal="center" vertical="center"/>
      <protection locked="0"/>
    </xf>
    <xf numFmtId="0" fontId="18" fillId="5" borderId="18" xfId="0" applyFont="1" applyFill="1" applyBorder="1" applyAlignment="1" applyProtection="1">
      <alignment horizontal="center" vertical="center"/>
      <protection locked="0"/>
    </xf>
    <xf numFmtId="0" fontId="38" fillId="0" borderId="39" xfId="0" applyFont="1" applyBorder="1" applyAlignment="1">
      <alignment vertical="top" wrapText="1"/>
    </xf>
    <xf numFmtId="0" fontId="39" fillId="0" borderId="0" xfId="0" applyFont="1" applyBorder="1"/>
    <xf numFmtId="0" fontId="35" fillId="0" borderId="0" xfId="0" applyFont="1" applyBorder="1"/>
    <xf numFmtId="0" fontId="0" fillId="0" borderId="39" xfId="0" applyBorder="1"/>
    <xf numFmtId="0" fontId="3" fillId="0" borderId="39" xfId="0" applyFont="1" applyBorder="1"/>
    <xf numFmtId="0" fontId="35" fillId="0" borderId="39" xfId="0" applyFont="1" applyBorder="1"/>
    <xf numFmtId="0" fontId="35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2" fillId="12" borderId="6" xfId="0" applyFont="1" applyFill="1" applyBorder="1"/>
    <xf numFmtId="0" fontId="5" fillId="12" borderId="7" xfId="0" applyFont="1" applyFill="1" applyBorder="1" applyAlignment="1">
      <alignment horizontal="center"/>
    </xf>
    <xf numFmtId="0" fontId="2" fillId="12" borderId="7" xfId="0" applyFont="1" applyFill="1" applyBorder="1"/>
    <xf numFmtId="0" fontId="5" fillId="12" borderId="8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2" fillId="12" borderId="9" xfId="0" applyFont="1" applyFill="1"/>
    <xf numFmtId="0" fontId="5" fillId="12" borderId="3" xfId="0" applyFont="1" applyFill="1" applyBorder="1" applyAlignment="1">
      <alignment horizontal="center"/>
    </xf>
    <xf numFmtId="0" fontId="2" fillId="12" borderId="2" xfId="0" applyFont="1" applyFill="1" applyBorder="1"/>
    <xf numFmtId="0" fontId="10" fillId="12" borderId="9" xfId="0" applyFont="1" applyFill="1"/>
    <xf numFmtId="0" fontId="2" fillId="12" borderId="1" xfId="0" applyFont="1" applyFill="1" applyBorder="1"/>
    <xf numFmtId="0" fontId="5" fillId="12" borderId="10" xfId="0" applyFont="1" applyFill="1" applyBorder="1" applyAlignment="1">
      <alignment horizontal="center"/>
    </xf>
    <xf numFmtId="0" fontId="2" fillId="12" borderId="11" xfId="0" applyFont="1" applyFill="1" applyBorder="1"/>
    <xf numFmtId="0" fontId="5" fillId="12" borderId="12" xfId="0" applyFont="1" applyFill="1" applyBorder="1" applyAlignment="1">
      <alignment horizontal="center"/>
    </xf>
    <xf numFmtId="0" fontId="40" fillId="12" borderId="9" xfId="0" applyFont="1" applyFill="1" applyAlignment="1">
      <alignment horizontal="center"/>
    </xf>
    <xf numFmtId="0" fontId="41" fillId="12" borderId="9" xfId="0" applyFont="1" applyFill="1"/>
    <xf numFmtId="16" fontId="2" fillId="4" borderId="25" xfId="0" applyNumberFormat="1" applyFont="1" applyFill="1" applyBorder="1" applyAlignment="1">
      <alignment horizontal="left" vertical="center" wrapText="1"/>
    </xf>
    <xf numFmtId="0" fontId="14" fillId="13" borderId="19" xfId="0" applyFont="1" applyFill="1" applyBorder="1"/>
    <xf numFmtId="0" fontId="14" fillId="13" borderId="20" xfId="0" applyFont="1" applyFill="1" applyBorder="1" applyAlignment="1">
      <alignment horizontal="center"/>
    </xf>
    <xf numFmtId="164" fontId="42" fillId="4" borderId="16" xfId="0" applyNumberFormat="1" applyFont="1" applyFill="1" applyBorder="1" applyAlignment="1">
      <alignment vertical="center"/>
    </xf>
    <xf numFmtId="166" fontId="42" fillId="4" borderId="35" xfId="0" applyNumberFormat="1" applyFont="1" applyFill="1" applyBorder="1"/>
    <xf numFmtId="20" fontId="42" fillId="4" borderId="17" xfId="0" applyNumberFormat="1" applyFont="1" applyFill="1" applyBorder="1"/>
    <xf numFmtId="164" fontId="42" fillId="4" borderId="29" xfId="0" applyNumberFormat="1" applyFont="1" applyFill="1" applyBorder="1" applyAlignment="1">
      <alignment vertical="center"/>
    </xf>
    <xf numFmtId="20" fontId="42" fillId="4" borderId="30" xfId="0" applyNumberFormat="1" applyFont="1" applyFill="1" applyBorder="1"/>
    <xf numFmtId="0" fontId="43" fillId="15" borderId="28" xfId="0" applyFont="1" applyFill="1" applyBorder="1" applyAlignment="1">
      <alignment horizontal="center"/>
    </xf>
    <xf numFmtId="0" fontId="43" fillId="15" borderId="18" xfId="0" applyFont="1" applyFill="1" applyBorder="1" applyAlignment="1">
      <alignment horizontal="center"/>
    </xf>
    <xf numFmtId="0" fontId="43" fillId="15" borderId="24" xfId="0" applyFont="1" applyFill="1" applyBorder="1" applyAlignment="1">
      <alignment horizontal="center"/>
    </xf>
    <xf numFmtId="0" fontId="43" fillId="15" borderId="20" xfId="0" applyFont="1" applyFill="1" applyBorder="1" applyAlignment="1">
      <alignment horizontal="center"/>
    </xf>
    <xf numFmtId="0" fontId="43" fillId="15" borderId="40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4" borderId="39" xfId="0" applyFont="1" applyFill="1" applyBorder="1"/>
    <xf numFmtId="165" fontId="2" fillId="4" borderId="39" xfId="0" applyNumberFormat="1" applyFont="1" applyFill="1" applyBorder="1"/>
    <xf numFmtId="0" fontId="44" fillId="0" borderId="0" xfId="0" applyFont="1" applyBorder="1"/>
    <xf numFmtId="0" fontId="45" fillId="0" borderId="0" xfId="0" applyFont="1" applyBorder="1"/>
    <xf numFmtId="164" fontId="40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39" xfId="0" applyNumberFormat="1" applyFont="1" applyBorder="1" applyAlignment="1">
      <alignment vertical="center"/>
    </xf>
    <xf numFmtId="0" fontId="2" fillId="12" borderId="4" xfId="0" applyFont="1" applyFill="1" applyBorder="1"/>
    <xf numFmtId="0" fontId="5" fillId="12" borderId="39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40" fillId="12" borderId="39" xfId="0" applyFont="1" applyFill="1" applyBorder="1" applyAlignment="1">
      <alignment horizontal="center"/>
    </xf>
    <xf numFmtId="0" fontId="35" fillId="0" borderId="39" xfId="0" applyFont="1" applyBorder="1" applyAlignment="1">
      <alignment horizontal="right"/>
    </xf>
    <xf numFmtId="0" fontId="44" fillId="0" borderId="39" xfId="0" applyFont="1" applyBorder="1"/>
    <xf numFmtId="0" fontId="46" fillId="0" borderId="0" xfId="0" quotePrefix="1" applyFont="1" applyBorder="1"/>
    <xf numFmtId="0" fontId="35" fillId="0" borderId="0" xfId="0" quotePrefix="1" applyFont="1" applyBorder="1"/>
    <xf numFmtId="0" fontId="47" fillId="13" borderId="19" xfId="0" applyFont="1" applyFill="1" applyBorder="1" applyAlignment="1">
      <alignment horizontal="center"/>
    </xf>
    <xf numFmtId="0" fontId="47" fillId="13" borderId="21" xfId="0" applyFont="1" applyFill="1" applyBorder="1" applyAlignment="1">
      <alignment horizontal="center"/>
    </xf>
    <xf numFmtId="0" fontId="10" fillId="0" borderId="0" xfId="0" applyFont="1" applyBorder="1"/>
    <xf numFmtId="170" fontId="10" fillId="0" borderId="0" xfId="0" applyNumberFormat="1" applyFont="1" applyBorder="1"/>
    <xf numFmtId="0" fontId="10" fillId="0" borderId="0" xfId="0" applyFont="1" applyBorder="1" applyAlignment="1">
      <alignment horizontal="center" vertical="center"/>
    </xf>
    <xf numFmtId="0" fontId="22" fillId="0" borderId="0" xfId="0" applyFont="1" applyBorder="1"/>
    <xf numFmtId="0" fontId="5" fillId="5" borderId="27" xfId="0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/>
    </xf>
    <xf numFmtId="0" fontId="5" fillId="5" borderId="27" xfId="0" applyFont="1" applyFill="1" applyBorder="1" applyAlignment="1" applyProtection="1">
      <alignment horizontal="center"/>
      <protection hidden="1"/>
    </xf>
    <xf numFmtId="0" fontId="35" fillId="16" borderId="40" xfId="0" applyFont="1" applyFill="1" applyBorder="1"/>
    <xf numFmtId="0" fontId="2" fillId="4" borderId="44" xfId="0" applyFont="1" applyFill="1" applyBorder="1"/>
    <xf numFmtId="16" fontId="49" fillId="4" borderId="17" xfId="0" applyNumberFormat="1" applyFont="1" applyFill="1" applyBorder="1" applyAlignment="1">
      <alignment horizontal="left" vertical="center"/>
    </xf>
    <xf numFmtId="16" fontId="49" fillId="4" borderId="16" xfId="0" applyNumberFormat="1" applyFont="1" applyFill="1" applyBorder="1" applyAlignment="1">
      <alignment horizontal="left" vertical="center" wrapText="1"/>
    </xf>
    <xf numFmtId="0" fontId="39" fillId="0" borderId="39" xfId="0" applyFont="1" applyBorder="1"/>
    <xf numFmtId="16" fontId="49" fillId="4" borderId="29" xfId="0" applyNumberFormat="1" applyFont="1" applyFill="1" applyBorder="1"/>
    <xf numFmtId="0" fontId="42" fillId="0" borderId="35" xfId="0" applyFont="1" applyBorder="1"/>
    <xf numFmtId="169" fontId="42" fillId="4" borderId="17" xfId="0" applyNumberFormat="1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/>
    </xf>
    <xf numFmtId="0" fontId="50" fillId="0" borderId="35" xfId="0" applyFont="1" applyBorder="1" applyAlignment="1">
      <alignment horizontal="center" vertical="center"/>
    </xf>
    <xf numFmtId="171" fontId="42" fillId="0" borderId="35" xfId="0" applyNumberFormat="1" applyFont="1" applyBorder="1" applyAlignment="1">
      <alignment horizontal="center"/>
    </xf>
    <xf numFmtId="0" fontId="42" fillId="0" borderId="35" xfId="0" applyFont="1" applyBorder="1" applyAlignment="1">
      <alignment horizontal="center" vertical="center"/>
    </xf>
    <xf numFmtId="0" fontId="48" fillId="5" borderId="31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left" vertical="center"/>
    </xf>
    <xf numFmtId="0" fontId="2" fillId="4" borderId="9" xfId="0" applyFont="1" applyFill="1" applyAlignment="1">
      <alignment horizontal="center"/>
    </xf>
    <xf numFmtId="0" fontId="0" fillId="0" borderId="0" xfId="0" applyBorder="1"/>
    <xf numFmtId="0" fontId="14" fillId="13" borderId="41" xfId="0" applyFont="1" applyFill="1" applyBorder="1" applyAlignment="1">
      <alignment horizontal="center"/>
    </xf>
    <xf numFmtId="0" fontId="0" fillId="14" borderId="42" xfId="0" applyFill="1" applyBorder="1"/>
    <xf numFmtId="0" fontId="0" fillId="14" borderId="43" xfId="0" applyFill="1" applyBorder="1"/>
    <xf numFmtId="2" fontId="19" fillId="0" borderId="31" xfId="0" applyNumberFormat="1" applyFont="1" applyBorder="1" applyAlignment="1">
      <alignment horizontal="center"/>
    </xf>
    <xf numFmtId="0" fontId="0" fillId="0" borderId="31" xfId="0" applyBorder="1"/>
    <xf numFmtId="0" fontId="5" fillId="4" borderId="31" xfId="0" applyFont="1" applyFill="1" applyBorder="1" applyAlignment="1">
      <alignment horizontal="center" vertical="center"/>
    </xf>
    <xf numFmtId="2" fontId="26" fillId="0" borderId="9" xfId="0" applyNumberFormat="1" applyFont="1" applyAlignment="1">
      <alignment horizontal="center"/>
    </xf>
    <xf numFmtId="0" fontId="12" fillId="4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13" fillId="4" borderId="15" xfId="0" applyFont="1" applyFill="1" applyBorder="1" applyAlignment="1">
      <alignment horizontal="center"/>
    </xf>
    <xf numFmtId="0" fontId="0" fillId="0" borderId="15" xfId="0" applyBorder="1"/>
    <xf numFmtId="0" fontId="11" fillId="4" borderId="13" xfId="0" applyFont="1" applyFill="1" applyBorder="1" applyAlignment="1">
      <alignment horizontal="center" vertical="center"/>
    </xf>
    <xf numFmtId="0" fontId="0" fillId="0" borderId="13" xfId="0" applyBorder="1"/>
    <xf numFmtId="0" fontId="3" fillId="0" borderId="39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17" fontId="2" fillId="4" borderId="2" xfId="0" applyNumberFormat="1" applyFont="1" applyFill="1" applyBorder="1" applyAlignment="1">
      <alignment horizontal="right"/>
    </xf>
  </cellXfs>
  <cellStyles count="2">
    <cellStyle name="Normal" xfId="0" builtinId="0"/>
    <cellStyle name="Per cent" xfId="1" builtinId="5"/>
  </cellStyles>
  <dxfs count="10"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  <dxf>
      <font>
        <color rgb="FFFCF305"/>
      </font>
      <fill>
        <patternFill patternType="solid">
          <fgColor rgb="FF006411"/>
          <bgColor rgb="FF0064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struccion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86"/>
  <sheetViews>
    <sheetView showGridLines="0" workbookViewId="0"/>
  </sheetViews>
  <sheetFormatPr baseColWidth="10" defaultColWidth="10.140625" defaultRowHeight="16"/>
  <cols>
    <col min="1" max="1" width="2.28515625" customWidth="1"/>
    <col min="2" max="2" width="35.7109375" customWidth="1"/>
    <col min="3" max="3" width="12.85546875" customWidth="1"/>
    <col min="4" max="4" width="5" customWidth="1"/>
    <col min="5" max="5" width="8.85546875" customWidth="1"/>
    <col min="6" max="6" width="21.7109375" customWidth="1"/>
    <col min="7" max="7" width="2.5703125" customWidth="1"/>
    <col min="8" max="8" width="21.7109375" customWidth="1"/>
    <col min="9" max="9" width="8.85546875" customWidth="1"/>
    <col min="10" max="10" width="8.42578125" customWidth="1"/>
    <col min="11" max="13" width="10.42578125" customWidth="1"/>
    <col min="14" max="14" width="20.5703125" customWidth="1"/>
    <col min="15" max="15" width="10" customWidth="1"/>
    <col min="16" max="19" width="10.42578125" customWidth="1"/>
  </cols>
  <sheetData>
    <row r="1" spans="2:12" s="157" customFormat="1"/>
    <row r="2" spans="2:12" ht="23">
      <c r="B2" s="194" t="s">
        <v>357</v>
      </c>
    </row>
    <row r="4" spans="2:12">
      <c r="B4" s="193" t="s">
        <v>136</v>
      </c>
    </row>
    <row r="5" spans="2:12">
      <c r="B5" s="156" t="s">
        <v>440</v>
      </c>
    </row>
    <row r="6" spans="2:12">
      <c r="B6" s="156" t="s">
        <v>358</v>
      </c>
    </row>
    <row r="7" spans="2:12">
      <c r="B7" s="156" t="s">
        <v>441</v>
      </c>
    </row>
    <row r="8" spans="2:12" s="157" customFormat="1" ht="17" thickBot="1">
      <c r="B8" s="159"/>
    </row>
    <row r="9" spans="2:12" s="157" customFormat="1" ht="17" thickTop="1">
      <c r="B9" s="193" t="s">
        <v>359</v>
      </c>
      <c r="E9" s="162"/>
      <c r="F9" s="163"/>
      <c r="G9" s="164"/>
      <c r="H9" s="163"/>
      <c r="I9" s="165"/>
    </row>
    <row r="10" spans="2:12" s="157" customFormat="1">
      <c r="B10" s="159" t="s">
        <v>360</v>
      </c>
      <c r="E10" s="198"/>
      <c r="F10" s="199"/>
      <c r="G10" s="201" t="s">
        <v>364</v>
      </c>
      <c r="H10" s="199"/>
      <c r="I10" s="200"/>
    </row>
    <row r="11" spans="2:12" s="157" customFormat="1">
      <c r="B11" s="159" t="s">
        <v>361</v>
      </c>
      <c r="E11" s="166"/>
      <c r="F11" s="169"/>
      <c r="G11" s="169"/>
      <c r="H11" s="169"/>
      <c r="I11" s="168"/>
    </row>
    <row r="12" spans="2:12">
      <c r="E12" s="166"/>
      <c r="F12" s="175" t="s">
        <v>141</v>
      </c>
      <c r="G12" s="176"/>
      <c r="H12" s="175" t="s">
        <v>142</v>
      </c>
      <c r="I12" s="168"/>
    </row>
    <row r="13" spans="2:12">
      <c r="B13" s="155" t="s">
        <v>362</v>
      </c>
      <c r="E13" s="166" t="s">
        <v>143</v>
      </c>
      <c r="F13" s="169" t="s">
        <v>144</v>
      </c>
      <c r="G13" s="169"/>
      <c r="H13" s="169" t="s">
        <v>145</v>
      </c>
      <c r="I13" s="168" t="s">
        <v>146</v>
      </c>
    </row>
    <row r="14" spans="2:12">
      <c r="B14" s="156"/>
      <c r="C14" s="160" t="s">
        <v>105</v>
      </c>
      <c r="E14" s="166" t="s">
        <v>147</v>
      </c>
      <c r="F14" s="169" t="s">
        <v>148</v>
      </c>
      <c r="G14" s="169"/>
      <c r="H14" s="169" t="s">
        <v>149</v>
      </c>
      <c r="I14" s="168" t="s">
        <v>150</v>
      </c>
      <c r="J14" s="3"/>
      <c r="K14" s="3"/>
      <c r="L14" s="1"/>
    </row>
    <row r="15" spans="2:12">
      <c r="B15" t="s">
        <v>137</v>
      </c>
      <c r="C15">
        <v>4</v>
      </c>
      <c r="E15" s="166" t="s">
        <v>152</v>
      </c>
      <c r="F15" s="169" t="s">
        <v>153</v>
      </c>
      <c r="G15" s="169"/>
      <c r="H15" s="169" t="s">
        <v>154</v>
      </c>
      <c r="I15" s="168" t="s">
        <v>155</v>
      </c>
      <c r="L15" s="1"/>
    </row>
    <row r="16" spans="2:12">
      <c r="B16" t="s">
        <v>138</v>
      </c>
      <c r="C16">
        <v>2</v>
      </c>
      <c r="E16" s="166" t="s">
        <v>157</v>
      </c>
      <c r="F16" s="169" t="s">
        <v>158</v>
      </c>
      <c r="G16" s="169"/>
      <c r="H16" s="169" t="s">
        <v>159</v>
      </c>
      <c r="I16" s="168" t="s">
        <v>160</v>
      </c>
      <c r="L16" s="1"/>
    </row>
    <row r="17" spans="2:19">
      <c r="B17" t="s">
        <v>139</v>
      </c>
      <c r="C17">
        <v>1</v>
      </c>
      <c r="E17" s="166"/>
      <c r="F17" s="169"/>
      <c r="G17" s="169"/>
      <c r="H17" s="169"/>
      <c r="I17" s="168"/>
      <c r="L17" s="1"/>
    </row>
    <row r="18" spans="2:19">
      <c r="B18" t="s">
        <v>140</v>
      </c>
      <c r="C18">
        <v>0</v>
      </c>
      <c r="E18" s="166"/>
      <c r="F18" s="175" t="s">
        <v>163</v>
      </c>
      <c r="G18" s="176"/>
      <c r="H18" s="175" t="s">
        <v>164</v>
      </c>
      <c r="I18" s="168"/>
      <c r="L18" s="1"/>
    </row>
    <row r="19" spans="2:19">
      <c r="E19" s="166" t="s">
        <v>166</v>
      </c>
      <c r="F19" s="167" t="s">
        <v>167</v>
      </c>
      <c r="G19" s="167"/>
      <c r="H19" s="167" t="s">
        <v>168</v>
      </c>
      <c r="I19" s="168" t="s">
        <v>169</v>
      </c>
      <c r="L19" s="1"/>
    </row>
    <row r="20" spans="2:19">
      <c r="B20" s="155" t="s">
        <v>363</v>
      </c>
      <c r="E20" s="166" t="s">
        <v>171</v>
      </c>
      <c r="F20" s="170" t="s">
        <v>172</v>
      </c>
      <c r="G20" s="167"/>
      <c r="H20" s="167" t="s">
        <v>173</v>
      </c>
      <c r="I20" s="168" t="s">
        <v>174</v>
      </c>
      <c r="L20" s="1"/>
    </row>
    <row r="21" spans="2:19">
      <c r="C21" s="161" t="s">
        <v>151</v>
      </c>
      <c r="E21" s="166" t="s">
        <v>175</v>
      </c>
      <c r="F21" s="167" t="s">
        <v>176</v>
      </c>
      <c r="G21" s="167"/>
      <c r="H21" s="167" t="s">
        <v>177</v>
      </c>
      <c r="I21" s="168" t="s">
        <v>178</v>
      </c>
      <c r="L21" s="1"/>
      <c r="R21" s="1"/>
      <c r="S21" s="1"/>
    </row>
    <row r="22" spans="2:19" s="157" customFormat="1">
      <c r="B22" s="159" t="s">
        <v>354</v>
      </c>
      <c r="C22" s="157">
        <v>2</v>
      </c>
      <c r="E22" s="166" t="s">
        <v>179</v>
      </c>
      <c r="F22" s="167" t="s">
        <v>180</v>
      </c>
      <c r="G22" s="167"/>
      <c r="H22" s="167" t="s">
        <v>181</v>
      </c>
      <c r="I22" s="168" t="s">
        <v>182</v>
      </c>
      <c r="L22" s="1"/>
      <c r="R22" s="158"/>
      <c r="S22" s="158"/>
    </row>
    <row r="23" spans="2:19">
      <c r="B23" t="s">
        <v>156</v>
      </c>
      <c r="C23">
        <v>4</v>
      </c>
      <c r="E23" s="166"/>
      <c r="F23" s="167"/>
      <c r="G23" s="167"/>
      <c r="H23" s="167"/>
      <c r="I23" s="168"/>
      <c r="L23" s="1"/>
      <c r="R23" s="1"/>
      <c r="S23" s="1"/>
    </row>
    <row r="24" spans="2:19">
      <c r="B24" t="s">
        <v>161</v>
      </c>
      <c r="C24">
        <v>6</v>
      </c>
      <c r="E24" s="166"/>
      <c r="F24" s="175" t="s">
        <v>183</v>
      </c>
      <c r="G24" s="176"/>
      <c r="H24" s="175" t="s">
        <v>184</v>
      </c>
      <c r="I24" s="168"/>
      <c r="L24" s="1"/>
      <c r="R24" s="1"/>
      <c r="S24" s="1"/>
    </row>
    <row r="25" spans="2:19">
      <c r="B25" t="s">
        <v>162</v>
      </c>
      <c r="C25">
        <v>9</v>
      </c>
      <c r="E25" s="166" t="s">
        <v>185</v>
      </c>
      <c r="F25" s="167" t="s">
        <v>186</v>
      </c>
      <c r="G25" s="167"/>
      <c r="H25" s="167" t="s">
        <v>187</v>
      </c>
      <c r="I25" s="168" t="s">
        <v>188</v>
      </c>
      <c r="L25" s="1"/>
      <c r="R25" s="1"/>
      <c r="S25" s="1"/>
    </row>
    <row r="26" spans="2:19">
      <c r="B26" t="s">
        <v>165</v>
      </c>
      <c r="C26">
        <v>14</v>
      </c>
      <c r="E26" s="166" t="s">
        <v>189</v>
      </c>
      <c r="F26" s="167" t="s">
        <v>190</v>
      </c>
      <c r="G26" s="167"/>
      <c r="H26" s="167" t="s">
        <v>191</v>
      </c>
      <c r="I26" s="168" t="s">
        <v>192</v>
      </c>
      <c r="L26" s="1"/>
      <c r="Q26" s="3"/>
      <c r="R26" s="3"/>
      <c r="S26" s="1"/>
    </row>
    <row r="27" spans="2:19">
      <c r="B27" t="s">
        <v>170</v>
      </c>
      <c r="C27">
        <v>25</v>
      </c>
      <c r="E27" s="166" t="s">
        <v>193</v>
      </c>
      <c r="F27" s="167" t="s">
        <v>194</v>
      </c>
      <c r="G27" s="167"/>
      <c r="H27" s="167" t="s">
        <v>195</v>
      </c>
      <c r="I27" s="168" t="s">
        <v>196</v>
      </c>
      <c r="L27" s="1"/>
      <c r="Q27" s="4"/>
      <c r="R27" s="5"/>
      <c r="S27" s="1"/>
    </row>
    <row r="28" spans="2:19">
      <c r="E28" s="166" t="s">
        <v>197</v>
      </c>
      <c r="F28" s="167" t="s">
        <v>198</v>
      </c>
      <c r="G28" s="167"/>
      <c r="H28" s="167" t="s">
        <v>199</v>
      </c>
      <c r="I28" s="168" t="s">
        <v>200</v>
      </c>
      <c r="L28" s="1"/>
      <c r="Q28" s="3"/>
      <c r="R28" s="5"/>
      <c r="S28" s="1"/>
    </row>
    <row r="29" spans="2:19">
      <c r="E29" s="166"/>
      <c r="F29" s="167"/>
      <c r="G29" s="167"/>
      <c r="H29" s="167"/>
      <c r="I29" s="168"/>
      <c r="L29" s="1"/>
      <c r="Q29" s="3"/>
      <c r="R29" s="5"/>
      <c r="S29" s="1"/>
    </row>
    <row r="30" spans="2:19">
      <c r="E30" s="166"/>
      <c r="F30" s="175" t="s">
        <v>201</v>
      </c>
      <c r="G30" s="176"/>
      <c r="H30" s="175" t="s">
        <v>202</v>
      </c>
      <c r="I30" s="168"/>
      <c r="L30" s="1"/>
      <c r="Q30" s="3"/>
      <c r="R30" s="5"/>
      <c r="S30" s="1"/>
    </row>
    <row r="31" spans="2:19">
      <c r="E31" s="166" t="s">
        <v>203</v>
      </c>
      <c r="F31" s="167" t="s">
        <v>203</v>
      </c>
      <c r="G31" s="167"/>
      <c r="H31" s="167" t="s">
        <v>204</v>
      </c>
      <c r="I31" s="168" t="s">
        <v>205</v>
      </c>
      <c r="L31" s="1"/>
      <c r="Q31" s="3"/>
      <c r="R31" s="5"/>
      <c r="S31" s="1"/>
    </row>
    <row r="32" spans="2:19">
      <c r="E32" s="166" t="s">
        <v>206</v>
      </c>
      <c r="F32" s="167" t="s">
        <v>207</v>
      </c>
      <c r="G32" s="167"/>
      <c r="H32" s="167" t="s">
        <v>208</v>
      </c>
      <c r="I32" s="168" t="s">
        <v>209</v>
      </c>
      <c r="L32" s="1"/>
      <c r="Q32" s="3"/>
      <c r="R32" s="5"/>
      <c r="S32" s="1"/>
    </row>
    <row r="33" spans="2:20">
      <c r="E33" s="166" t="s">
        <v>210</v>
      </c>
      <c r="F33" s="167" t="s">
        <v>211</v>
      </c>
      <c r="G33" s="167"/>
      <c r="H33" s="167" t="s">
        <v>212</v>
      </c>
      <c r="I33" s="168" t="s">
        <v>213</v>
      </c>
      <c r="L33" s="1"/>
      <c r="Q33" s="4"/>
      <c r="R33" s="5"/>
      <c r="S33" s="1"/>
    </row>
    <row r="34" spans="2:20">
      <c r="E34" s="166" t="s">
        <v>214</v>
      </c>
      <c r="F34" s="167" t="s">
        <v>215</v>
      </c>
      <c r="G34" s="167"/>
      <c r="H34" s="167" t="s">
        <v>216</v>
      </c>
      <c r="I34" s="168" t="s">
        <v>217</v>
      </c>
      <c r="L34" s="1"/>
      <c r="Q34" s="3"/>
      <c r="R34" s="5"/>
      <c r="S34" s="1"/>
    </row>
    <row r="35" spans="2:20">
      <c r="E35" s="166"/>
      <c r="F35" s="167"/>
      <c r="G35" s="167"/>
      <c r="H35" s="167"/>
      <c r="I35" s="168"/>
      <c r="L35" s="1"/>
      <c r="Q35" s="3"/>
      <c r="R35" s="5"/>
      <c r="S35" s="1"/>
    </row>
    <row r="36" spans="2:20">
      <c r="E36" s="171"/>
      <c r="F36" s="175" t="s">
        <v>218</v>
      </c>
      <c r="G36" s="176"/>
      <c r="H36" s="175" t="s">
        <v>219</v>
      </c>
      <c r="I36" s="168"/>
      <c r="L36" s="1"/>
      <c r="Q36" s="3"/>
      <c r="R36" s="5"/>
      <c r="S36" s="1"/>
    </row>
    <row r="37" spans="2:20">
      <c r="E37" s="166" t="s">
        <v>220</v>
      </c>
      <c r="F37" s="167" t="s">
        <v>221</v>
      </c>
      <c r="G37" s="167"/>
      <c r="H37" s="167" t="s">
        <v>222</v>
      </c>
      <c r="I37" s="168" t="s">
        <v>223</v>
      </c>
      <c r="L37" s="1"/>
      <c r="Q37" s="3"/>
      <c r="R37" s="5"/>
      <c r="S37" s="1"/>
    </row>
    <row r="38" spans="2:20">
      <c r="E38" s="166" t="s">
        <v>224</v>
      </c>
      <c r="F38" s="167" t="s">
        <v>225</v>
      </c>
      <c r="G38" s="167"/>
      <c r="H38" s="170" t="s">
        <v>226</v>
      </c>
      <c r="I38" s="168" t="s">
        <v>227</v>
      </c>
      <c r="L38" s="1"/>
      <c r="Q38" s="3"/>
      <c r="R38" s="5"/>
      <c r="S38" s="1"/>
    </row>
    <row r="39" spans="2:20">
      <c r="E39" s="166" t="s">
        <v>228</v>
      </c>
      <c r="F39" s="167" t="s">
        <v>229</v>
      </c>
      <c r="G39" s="167"/>
      <c r="H39" s="167" t="s">
        <v>230</v>
      </c>
      <c r="I39" s="168" t="s">
        <v>231</v>
      </c>
      <c r="L39" s="1"/>
      <c r="Q39" s="4"/>
      <c r="R39" s="5"/>
      <c r="S39" s="1"/>
    </row>
    <row r="40" spans="2:20">
      <c r="B40" s="154"/>
      <c r="C40" s="154"/>
      <c r="D40" s="154"/>
      <c r="E40" s="166" t="s">
        <v>232</v>
      </c>
      <c r="F40" s="167" t="s">
        <v>233</v>
      </c>
      <c r="G40" s="167"/>
      <c r="H40" s="167" t="s">
        <v>234</v>
      </c>
      <c r="I40" s="168" t="s">
        <v>235</v>
      </c>
      <c r="L40" s="1"/>
      <c r="Q40" s="3"/>
      <c r="R40" s="5"/>
      <c r="S40" s="1"/>
    </row>
    <row r="41" spans="2:20">
      <c r="E41" s="171"/>
      <c r="F41" s="167"/>
      <c r="G41" s="167"/>
      <c r="H41" s="167"/>
      <c r="I41" s="168"/>
      <c r="L41" s="1"/>
      <c r="Q41" s="3"/>
      <c r="R41" s="5"/>
      <c r="S41" s="1"/>
    </row>
    <row r="42" spans="2:20">
      <c r="B42" s="154"/>
      <c r="C42" s="154"/>
      <c r="D42" s="154"/>
      <c r="E42" s="171"/>
      <c r="F42" s="175" t="s">
        <v>236</v>
      </c>
      <c r="G42" s="176"/>
      <c r="H42" s="175" t="s">
        <v>237</v>
      </c>
      <c r="I42" s="168"/>
      <c r="L42" s="1"/>
      <c r="Q42" s="3"/>
      <c r="R42" s="5"/>
      <c r="S42" s="1"/>
    </row>
    <row r="43" spans="2:20">
      <c r="B43" s="154"/>
      <c r="C43" s="154"/>
      <c r="D43" s="154"/>
      <c r="E43" s="166" t="s">
        <v>238</v>
      </c>
      <c r="F43" s="169" t="s">
        <v>239</v>
      </c>
      <c r="G43" s="169"/>
      <c r="H43" s="169" t="s">
        <v>240</v>
      </c>
      <c r="I43" s="168" t="s">
        <v>241</v>
      </c>
      <c r="L43" s="1"/>
      <c r="Q43" s="3"/>
      <c r="R43" s="5"/>
      <c r="S43" s="1"/>
    </row>
    <row r="44" spans="2:20">
      <c r="B44" s="154"/>
      <c r="C44" s="154"/>
      <c r="D44" s="154"/>
      <c r="E44" s="166" t="s">
        <v>242</v>
      </c>
      <c r="F44" s="169" t="s">
        <v>243</v>
      </c>
      <c r="G44" s="169"/>
      <c r="H44" s="169" t="s">
        <v>244</v>
      </c>
      <c r="I44" s="168" t="s">
        <v>245</v>
      </c>
      <c r="L44" s="1"/>
      <c r="Q44" s="3"/>
      <c r="R44" s="5"/>
      <c r="S44" s="1"/>
      <c r="T44" s="141"/>
    </row>
    <row r="45" spans="2:20">
      <c r="B45" s="154"/>
      <c r="C45" s="154"/>
      <c r="D45" s="154"/>
      <c r="E45" s="166" t="s">
        <v>246</v>
      </c>
      <c r="F45" s="169" t="s">
        <v>247</v>
      </c>
      <c r="G45" s="169"/>
      <c r="H45" s="169" t="s">
        <v>248</v>
      </c>
      <c r="I45" s="168" t="s">
        <v>249</v>
      </c>
      <c r="L45" s="1"/>
      <c r="Q45" s="4"/>
      <c r="R45" s="5"/>
      <c r="S45" s="1"/>
      <c r="T45" s="142"/>
    </row>
    <row r="46" spans="2:20">
      <c r="B46" s="154"/>
      <c r="C46" s="154"/>
      <c r="D46" s="154"/>
      <c r="E46" s="166" t="s">
        <v>250</v>
      </c>
      <c r="F46" s="169" t="s">
        <v>251</v>
      </c>
      <c r="G46" s="169"/>
      <c r="H46" s="169" t="s">
        <v>252</v>
      </c>
      <c r="I46" s="168" t="s">
        <v>253</v>
      </c>
      <c r="L46" s="1"/>
      <c r="Q46" s="3"/>
      <c r="R46" s="5"/>
      <c r="S46" s="1"/>
    </row>
    <row r="47" spans="2:20" ht="17" thickBot="1">
      <c r="B47" s="154"/>
      <c r="C47" s="154"/>
      <c r="D47" s="154"/>
      <c r="E47" s="172"/>
      <c r="F47" s="173"/>
      <c r="G47" s="173"/>
      <c r="H47" s="173"/>
      <c r="I47" s="174"/>
      <c r="L47" s="1"/>
      <c r="Q47" s="3"/>
      <c r="R47" s="5"/>
      <c r="S47" s="1"/>
    </row>
    <row r="48" spans="2:20" ht="17" thickTop="1">
      <c r="B48" s="154"/>
      <c r="C48" s="154"/>
      <c r="D48" s="154"/>
      <c r="E48" s="154"/>
      <c r="F48" s="1"/>
      <c r="G48" s="1"/>
      <c r="H48" s="1"/>
      <c r="I48" s="1"/>
      <c r="L48" s="1"/>
      <c r="Q48" s="3"/>
      <c r="R48" s="5"/>
      <c r="S48" s="1"/>
    </row>
    <row r="49" spans="2:19">
      <c r="B49" s="154"/>
      <c r="C49" s="154"/>
      <c r="D49" s="154"/>
      <c r="E49" s="154"/>
      <c r="F49" s="1"/>
      <c r="G49" s="3"/>
      <c r="H49" s="5"/>
      <c r="I49" s="3"/>
      <c r="L49" s="1"/>
      <c r="Q49" s="3"/>
      <c r="R49" s="5"/>
      <c r="S49" s="1"/>
    </row>
    <row r="50" spans="2:19">
      <c r="B50" s="154"/>
      <c r="C50" s="154"/>
      <c r="D50" s="154"/>
      <c r="E50" s="154"/>
      <c r="F50" s="1"/>
      <c r="G50" s="5"/>
      <c r="H50" s="4"/>
      <c r="I50" s="3"/>
      <c r="J50" s="1"/>
      <c r="K50" s="1"/>
      <c r="L50" s="1"/>
      <c r="Q50" s="1"/>
      <c r="R50" s="1"/>
      <c r="S50" s="1"/>
    </row>
    <row r="51" spans="2:19">
      <c r="B51" s="154"/>
      <c r="C51" s="154"/>
      <c r="D51" s="154"/>
      <c r="E51" s="154"/>
      <c r="F51" s="1"/>
      <c r="G51" s="5"/>
      <c r="H51" s="3"/>
      <c r="I51" s="3"/>
      <c r="J51" s="3"/>
      <c r="K51" s="5"/>
      <c r="L51" s="1"/>
      <c r="Q51" s="1"/>
      <c r="R51" s="1"/>
      <c r="S51" s="1"/>
    </row>
    <row r="52" spans="2:19">
      <c r="B52" s="154"/>
      <c r="C52" s="154"/>
      <c r="D52" s="154"/>
      <c r="E52" s="154"/>
      <c r="F52" s="1"/>
      <c r="G52" s="5"/>
      <c r="H52" s="3"/>
      <c r="I52" s="3"/>
      <c r="J52" s="4"/>
      <c r="K52" s="5"/>
      <c r="L52" s="1"/>
      <c r="Q52" s="1"/>
      <c r="R52" s="1"/>
      <c r="S52" s="1"/>
    </row>
    <row r="53" spans="2:19">
      <c r="B53" s="154"/>
      <c r="C53" s="154"/>
      <c r="D53" s="154"/>
      <c r="E53" s="154"/>
      <c r="F53" s="1"/>
      <c r="G53" s="5"/>
      <c r="H53" s="3"/>
      <c r="I53" s="3"/>
      <c r="J53" s="3"/>
      <c r="K53" s="5"/>
      <c r="L53" s="1"/>
      <c r="Q53" s="1"/>
      <c r="R53" s="1"/>
      <c r="S53" s="1"/>
    </row>
    <row r="54" spans="2:19">
      <c r="B54" s="154"/>
      <c r="C54" s="154"/>
      <c r="D54" s="154"/>
      <c r="E54" s="154"/>
      <c r="F54" s="1"/>
      <c r="G54" s="5"/>
      <c r="H54" s="3"/>
      <c r="I54" s="3"/>
      <c r="J54" s="3"/>
      <c r="K54" s="5"/>
      <c r="L54" s="1"/>
      <c r="Q54" s="1"/>
      <c r="R54" s="1"/>
      <c r="S54" s="1"/>
    </row>
    <row r="55" spans="2:19">
      <c r="B55" s="154"/>
      <c r="C55" s="154"/>
      <c r="D55" s="154"/>
      <c r="E55" s="154"/>
      <c r="F55" s="1"/>
      <c r="G55" s="5"/>
      <c r="H55" s="3"/>
      <c r="I55" s="3"/>
      <c r="J55" s="3"/>
      <c r="K55" s="5"/>
      <c r="L55" s="1"/>
      <c r="Q55" s="1"/>
      <c r="R55" s="1"/>
      <c r="S55" s="1"/>
    </row>
    <row r="56" spans="2:19">
      <c r="B56" s="154"/>
      <c r="C56" s="154"/>
      <c r="D56" s="154"/>
      <c r="E56" s="154"/>
      <c r="F56" s="1"/>
      <c r="G56" s="5"/>
      <c r="H56" s="4"/>
      <c r="I56" s="3"/>
      <c r="J56" s="3"/>
      <c r="K56" s="5"/>
      <c r="L56" s="1"/>
      <c r="Q56" s="1"/>
      <c r="R56" s="1"/>
      <c r="S56" s="1"/>
    </row>
    <row r="57" spans="2:19">
      <c r="B57" s="154"/>
      <c r="C57" s="154"/>
      <c r="D57" s="154"/>
      <c r="E57" s="154"/>
      <c r="F57" s="1"/>
      <c r="G57" s="5"/>
      <c r="H57" s="3"/>
      <c r="I57" s="3"/>
      <c r="J57" s="3"/>
      <c r="K57" s="5"/>
      <c r="L57" s="1"/>
    </row>
    <row r="58" spans="2:19">
      <c r="B58" s="154"/>
      <c r="C58" s="154"/>
      <c r="D58" s="154"/>
      <c r="E58" s="154"/>
      <c r="F58" s="1"/>
      <c r="G58" s="5"/>
      <c r="H58" s="3"/>
      <c r="I58" s="3"/>
      <c r="J58" s="4"/>
      <c r="K58" s="5"/>
      <c r="L58" s="1"/>
    </row>
    <row r="59" spans="2:19">
      <c r="B59" s="154"/>
      <c r="C59" s="154"/>
      <c r="D59" s="154"/>
      <c r="E59" s="154"/>
      <c r="F59" s="1"/>
      <c r="G59" s="5"/>
      <c r="H59" s="3"/>
      <c r="I59" s="3"/>
      <c r="J59" s="3"/>
      <c r="K59" s="5"/>
      <c r="L59" s="1"/>
    </row>
    <row r="60" spans="2:19">
      <c r="B60" s="154"/>
      <c r="C60" s="154"/>
      <c r="D60" s="154"/>
      <c r="E60" s="154"/>
      <c r="F60" s="1"/>
      <c r="G60" s="5"/>
      <c r="H60" s="3"/>
      <c r="I60" s="3"/>
      <c r="J60" s="3"/>
      <c r="K60" s="5"/>
      <c r="L60" s="1"/>
    </row>
    <row r="61" spans="2:19">
      <c r="B61" s="154"/>
      <c r="C61" s="154"/>
      <c r="D61" s="154"/>
      <c r="E61" s="154"/>
      <c r="F61" s="154"/>
      <c r="G61" s="154"/>
      <c r="H61" s="154"/>
      <c r="I61" s="154"/>
      <c r="J61" s="3"/>
      <c r="K61" s="5"/>
      <c r="L61" s="1"/>
    </row>
    <row r="62" spans="2:19">
      <c r="B62" s="154"/>
      <c r="C62" s="154"/>
      <c r="D62" s="154"/>
      <c r="E62" s="154"/>
      <c r="F62" s="154"/>
      <c r="G62" s="154"/>
      <c r="H62" s="154"/>
      <c r="I62" s="154"/>
      <c r="J62" s="3"/>
      <c r="K62" s="5"/>
      <c r="L62" s="1"/>
    </row>
    <row r="63" spans="2:19">
      <c r="B63" s="154"/>
      <c r="C63" s="154"/>
      <c r="D63" s="154"/>
    </row>
    <row r="64" spans="2:19">
      <c r="B64" s="154"/>
      <c r="C64" s="154"/>
      <c r="D64" s="154"/>
    </row>
    <row r="75" spans="10:16">
      <c r="J75" s="1"/>
      <c r="K75" s="1"/>
      <c r="L75" s="1"/>
      <c r="M75" s="1"/>
      <c r="N75" s="1"/>
      <c r="O75" s="1"/>
      <c r="P75" s="1"/>
    </row>
    <row r="76" spans="10:16">
      <c r="J76" s="1"/>
      <c r="K76" s="1"/>
      <c r="L76" s="1"/>
      <c r="M76" s="1"/>
      <c r="N76" s="1"/>
      <c r="O76" s="1"/>
      <c r="P76" s="1"/>
    </row>
    <row r="77" spans="10:16">
      <c r="J77" s="1"/>
      <c r="K77" s="1"/>
      <c r="L77" s="1"/>
      <c r="M77" s="1"/>
      <c r="N77" s="1"/>
      <c r="O77" s="1"/>
      <c r="P77" s="1"/>
    </row>
    <row r="78" spans="10:16">
      <c r="J78" s="1"/>
      <c r="K78" s="1"/>
      <c r="L78" s="1"/>
      <c r="M78" s="1"/>
      <c r="N78" s="1"/>
      <c r="O78" s="1"/>
      <c r="P78" s="1"/>
    </row>
    <row r="79" spans="10:16">
      <c r="J79" s="1"/>
      <c r="K79" s="1"/>
      <c r="L79" s="1"/>
      <c r="M79" s="1"/>
      <c r="N79" s="1"/>
      <c r="O79" s="1"/>
      <c r="P79" s="1"/>
    </row>
    <row r="80" spans="10:16">
      <c r="J80" s="1"/>
      <c r="K80" s="1"/>
      <c r="L80" s="1"/>
      <c r="M80" s="1"/>
      <c r="N80" s="1"/>
      <c r="O80" s="1"/>
      <c r="P80" s="1"/>
    </row>
    <row r="81" spans="10:16">
      <c r="J81" s="1"/>
      <c r="K81" s="1"/>
      <c r="L81" s="1"/>
      <c r="M81" s="1"/>
      <c r="N81" s="1"/>
      <c r="O81" s="1"/>
      <c r="P81" s="1"/>
    </row>
    <row r="82" spans="10:16">
      <c r="J82" s="1"/>
      <c r="K82" s="1"/>
      <c r="L82" s="1"/>
      <c r="M82" s="1"/>
      <c r="N82" s="1"/>
      <c r="O82" s="1"/>
      <c r="P82" s="1"/>
    </row>
    <row r="83" spans="10:16">
      <c r="J83" s="1"/>
      <c r="K83" s="1"/>
      <c r="L83" s="1"/>
      <c r="M83" s="1"/>
      <c r="N83" s="1"/>
      <c r="O83" s="1"/>
      <c r="P83" s="1"/>
    </row>
    <row r="84" spans="10:16">
      <c r="J84" s="1"/>
      <c r="K84" s="1"/>
      <c r="L84" s="1"/>
      <c r="M84" s="1"/>
      <c r="N84" s="1"/>
      <c r="O84" s="1"/>
      <c r="P84" s="1"/>
    </row>
    <row r="85" spans="10:16">
      <c r="J85" s="1"/>
      <c r="K85" s="1"/>
      <c r="L85" s="1"/>
      <c r="M85" s="1"/>
      <c r="N85" s="1"/>
      <c r="O85" s="1"/>
      <c r="P85" s="1"/>
    </row>
    <row r="86" spans="10:16">
      <c r="J86" s="1"/>
      <c r="K86" s="1"/>
      <c r="L86" s="1"/>
      <c r="M86" s="1"/>
      <c r="N86" s="1"/>
      <c r="O86" s="1"/>
      <c r="P86" s="1"/>
    </row>
  </sheetData>
  <printOptions horizontalCentered="1" verticalCentered="1"/>
  <pageMargins left="0.74803149606299213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819"/>
  <sheetViews>
    <sheetView showGridLines="0" topLeftCell="A76" workbookViewId="0">
      <selection activeCell="H94" sqref="H94"/>
    </sheetView>
  </sheetViews>
  <sheetFormatPr baseColWidth="10" defaultColWidth="10.140625" defaultRowHeight="16"/>
  <cols>
    <col min="1" max="1" width="3.140625" style="157" customWidth="1"/>
    <col min="2" max="2" width="15" customWidth="1"/>
    <col min="3" max="3" width="12.28515625" customWidth="1"/>
    <col min="4" max="4" width="21.28515625" customWidth="1"/>
    <col min="5" max="5" width="3.28515625" customWidth="1"/>
    <col min="6" max="6" width="21.28515625" customWidth="1"/>
    <col min="7" max="7" width="4" customWidth="1"/>
    <col min="8" max="8" width="12.42578125" customWidth="1"/>
    <col min="9" max="9" width="7.7109375" hidden="1" customWidth="1"/>
    <col min="10" max="10" width="8.42578125" hidden="1" customWidth="1"/>
    <col min="11" max="11" width="15.140625" customWidth="1"/>
    <col min="12" max="12" width="5.140625" customWidth="1"/>
    <col min="13" max="15" width="4.7109375" customWidth="1"/>
    <col min="16" max="16" width="1.28515625" customWidth="1"/>
    <col min="17" max="18" width="5" hidden="1" customWidth="1"/>
    <col min="19" max="19" width="8.140625" hidden="1" customWidth="1"/>
    <col min="20" max="20" width="7.140625" hidden="1" customWidth="1"/>
    <col min="21" max="21" width="9.85546875" hidden="1" customWidth="1"/>
    <col min="22" max="22" width="3.140625" hidden="1" customWidth="1"/>
    <col min="23" max="23" width="7.5703125" hidden="1" customWidth="1"/>
    <col min="24" max="24" width="3.28515625" hidden="1" customWidth="1"/>
    <col min="25" max="25" width="3.5703125" hidden="1" customWidth="1"/>
    <col min="26" max="26" width="10.140625" hidden="1" customWidth="1"/>
    <col min="27" max="27" width="6.5703125" hidden="1" customWidth="1"/>
    <col min="28" max="28" width="5.140625" hidden="1" customWidth="1"/>
    <col min="29" max="29" width="7.5703125" hidden="1" customWidth="1"/>
    <col min="30" max="30" width="12.140625" hidden="1" customWidth="1"/>
    <col min="31" max="33" width="12" hidden="1" customWidth="1"/>
    <col min="34" max="34" width="6.140625" hidden="1" customWidth="1"/>
    <col min="35" max="35" width="9" hidden="1" customWidth="1"/>
    <col min="36" max="36" width="6.140625" hidden="1" customWidth="1"/>
    <col min="37" max="37" width="7.7109375" hidden="1" customWidth="1"/>
    <col min="38" max="38" width="6.42578125" hidden="1" customWidth="1"/>
    <col min="39" max="41" width="4.7109375" hidden="1" customWidth="1"/>
    <col min="42" max="42" width="4.85546875" hidden="1" customWidth="1"/>
    <col min="43" max="43" width="6" hidden="1" customWidth="1"/>
    <col min="44" max="44" width="4" hidden="1" customWidth="1"/>
    <col min="45" max="45" width="5.5703125" hidden="1" customWidth="1"/>
    <col min="46" max="46" width="7.42578125" hidden="1" customWidth="1"/>
    <col min="47" max="54" width="4.7109375" hidden="1" customWidth="1"/>
    <col min="55" max="57" width="7.28515625" hidden="1" customWidth="1"/>
    <col min="58" max="59" width="9.85546875" hidden="1" customWidth="1"/>
    <col min="60" max="60" width="9.85546875" customWidth="1"/>
    <col min="61" max="62" width="10.140625" customWidth="1"/>
  </cols>
  <sheetData>
    <row r="1" spans="2:60">
      <c r="B1" s="6"/>
      <c r="E1" s="7"/>
      <c r="G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</row>
    <row r="2" spans="2:60">
      <c r="B2" s="195" t="s">
        <v>355</v>
      </c>
      <c r="O2" s="8"/>
      <c r="P2" s="8"/>
      <c r="Q2" s="229"/>
      <c r="R2" s="230"/>
      <c r="S2" s="230"/>
      <c r="T2" s="230"/>
      <c r="U2" s="230"/>
      <c r="V2" s="230"/>
      <c r="W2" s="9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10"/>
      <c r="AM2" s="10"/>
      <c r="AN2" s="10"/>
      <c r="AO2" s="10"/>
      <c r="AP2" s="8"/>
      <c r="AQ2" s="8"/>
      <c r="AR2" s="8"/>
      <c r="AS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</row>
    <row r="3" spans="2:60">
      <c r="B3" s="196" t="s">
        <v>442</v>
      </c>
      <c r="O3" s="8"/>
      <c r="P3" s="8"/>
      <c r="Q3" s="8"/>
      <c r="R3" s="8"/>
      <c r="S3" s="8"/>
      <c r="T3" s="8"/>
      <c r="U3" s="8"/>
      <c r="V3" s="8"/>
      <c r="W3" s="9"/>
      <c r="X3" s="8"/>
      <c r="Y3" s="8"/>
      <c r="Z3" s="8"/>
      <c r="AA3" s="8" t="s">
        <v>0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</row>
    <row r="4" spans="2:60" s="157" customFormat="1">
      <c r="B4" s="197" t="s">
        <v>443</v>
      </c>
      <c r="O4" s="191"/>
      <c r="P4" s="191"/>
      <c r="Q4" s="191"/>
      <c r="R4" s="191"/>
      <c r="S4" s="191"/>
      <c r="T4" s="191"/>
      <c r="U4" s="191"/>
      <c r="V4" s="191"/>
      <c r="W4" s="192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</row>
    <row r="5" spans="2:60">
      <c r="B5" s="11"/>
      <c r="O5" s="8"/>
      <c r="P5" s="8"/>
      <c r="Q5" s="8"/>
      <c r="R5" s="8"/>
      <c r="S5" s="8"/>
      <c r="T5" s="8"/>
      <c r="U5" s="8"/>
      <c r="V5" s="8"/>
      <c r="W5" s="9"/>
      <c r="X5" s="8"/>
      <c r="Y5" s="8"/>
      <c r="Z5" s="236" t="s">
        <v>1</v>
      </c>
      <c r="AA5" s="235"/>
      <c r="AB5" s="235"/>
      <c r="AC5" s="235"/>
      <c r="AD5" s="242" t="s">
        <v>2</v>
      </c>
      <c r="AE5" s="243"/>
      <c r="AF5" s="243"/>
      <c r="AG5" s="243"/>
      <c r="AH5" s="238" t="s">
        <v>3</v>
      </c>
      <c r="AI5" s="239"/>
      <c r="AJ5" s="239"/>
      <c r="AK5" s="239"/>
      <c r="AL5" s="8" t="s">
        <v>4</v>
      </c>
      <c r="AM5" s="8"/>
      <c r="AN5" s="8"/>
      <c r="AO5" s="8"/>
      <c r="AP5" s="240" t="s">
        <v>5</v>
      </c>
      <c r="AQ5" s="241"/>
      <c r="AR5" s="241"/>
      <c r="AS5" s="241"/>
      <c r="AT5" s="241"/>
      <c r="AU5" s="241"/>
      <c r="AV5" s="241"/>
      <c r="AW5" s="241"/>
      <c r="AX5" s="241"/>
      <c r="AY5" s="241"/>
      <c r="AZ5" s="241"/>
      <c r="BA5" s="241"/>
      <c r="BB5" s="8" t="s">
        <v>6</v>
      </c>
      <c r="BC5" s="8"/>
      <c r="BD5" s="8"/>
      <c r="BE5" s="8"/>
      <c r="BF5" s="8"/>
      <c r="BG5" s="8"/>
      <c r="BH5" s="8"/>
    </row>
    <row r="6" spans="2:60">
      <c r="B6" s="231" t="s">
        <v>7</v>
      </c>
      <c r="C6" s="232"/>
      <c r="D6" s="232"/>
      <c r="E6" s="232"/>
      <c r="F6" s="232"/>
      <c r="G6" s="233"/>
      <c r="H6" s="15"/>
      <c r="I6" s="8"/>
      <c r="J6" s="8"/>
      <c r="K6" s="8"/>
      <c r="L6" s="8"/>
      <c r="M6" s="8"/>
      <c r="N6" s="8"/>
      <c r="O6" s="8"/>
      <c r="P6" s="8"/>
      <c r="Q6" s="8"/>
      <c r="R6" s="8"/>
      <c r="S6" s="8" t="s">
        <v>8</v>
      </c>
      <c r="T6" s="8" t="s">
        <v>9</v>
      </c>
      <c r="U6" s="8" t="s">
        <v>10</v>
      </c>
      <c r="V6" s="8" t="s">
        <v>11</v>
      </c>
      <c r="W6" s="8" t="s">
        <v>12</v>
      </c>
      <c r="X6" s="8" t="s">
        <v>13</v>
      </c>
      <c r="Y6" s="8" t="s">
        <v>14</v>
      </c>
      <c r="Z6" s="8" t="s">
        <v>15</v>
      </c>
      <c r="AA6" s="8" t="s">
        <v>16</v>
      </c>
      <c r="AB6" s="8" t="s">
        <v>17</v>
      </c>
      <c r="AC6" s="8" t="s">
        <v>18</v>
      </c>
      <c r="AD6" s="8" t="s">
        <v>19</v>
      </c>
      <c r="AE6" s="8" t="s">
        <v>20</v>
      </c>
      <c r="AF6" s="8" t="s">
        <v>21</v>
      </c>
      <c r="AG6" s="8" t="s">
        <v>22</v>
      </c>
      <c r="AH6" s="8" t="s">
        <v>23</v>
      </c>
      <c r="AI6" s="8" t="s">
        <v>24</v>
      </c>
      <c r="AJ6" s="8" t="s">
        <v>25</v>
      </c>
      <c r="AK6" s="8" t="s">
        <v>26</v>
      </c>
      <c r="AL6" s="8" t="s">
        <v>27</v>
      </c>
      <c r="AM6" s="8" t="s">
        <v>28</v>
      </c>
      <c r="AN6" s="8" t="s">
        <v>29</v>
      </c>
      <c r="AO6" s="8" t="s">
        <v>30</v>
      </c>
      <c r="AP6" s="8" t="s">
        <v>31</v>
      </c>
      <c r="AQ6" s="8" t="s">
        <v>32</v>
      </c>
      <c r="AR6" s="8" t="s">
        <v>33</v>
      </c>
      <c r="AS6" s="8" t="s">
        <v>34</v>
      </c>
      <c r="AT6" s="8" t="s">
        <v>35</v>
      </c>
      <c r="AU6" s="8" t="s">
        <v>36</v>
      </c>
      <c r="AV6" s="8" t="s">
        <v>37</v>
      </c>
      <c r="AW6" s="8" t="s">
        <v>38</v>
      </c>
      <c r="AX6" s="8" t="s">
        <v>39</v>
      </c>
      <c r="AY6" s="8" t="s">
        <v>40</v>
      </c>
      <c r="AZ6" s="8" t="s">
        <v>39</v>
      </c>
      <c r="BA6" s="8" t="s">
        <v>40</v>
      </c>
      <c r="BB6" s="8"/>
      <c r="BC6" s="8">
        <f>IF($AU8,IF(E7-G7&lt;0,-0.5,IF(G7-E7&lt;0,0.5,0)),IF($AQ8,IF($AH8&gt;$AH9,-0.5,IF($AH8&lt;$AH9,0.5,0)),IF($AR8,IF($AI8&gt;$AI9,-0.5, IF($AI8&lt;$AI9,0.5,0)),0)))</f>
        <v>0</v>
      </c>
      <c r="BD6" s="8"/>
      <c r="BE6" s="8">
        <f>G11-E11</f>
        <v>1</v>
      </c>
      <c r="BF6" s="8"/>
      <c r="BG6" s="8"/>
      <c r="BH6" s="8"/>
    </row>
    <row r="7" spans="2:60" ht="17">
      <c r="B7" s="180">
        <v>46184.541666666657</v>
      </c>
      <c r="C7" s="181" t="s">
        <v>41</v>
      </c>
      <c r="D7" s="17" t="str">
        <f>+Instructions!F13</f>
        <v>Mexico (MEX)</v>
      </c>
      <c r="E7" s="150">
        <v>1</v>
      </c>
      <c r="F7" s="177" t="str">
        <f>+Instructions!F14</f>
        <v>South Africa (RSA)</v>
      </c>
      <c r="G7" s="150">
        <v>0</v>
      </c>
      <c r="H7" s="15"/>
      <c r="I7" s="8"/>
      <c r="J7" s="18"/>
      <c r="K7" s="178" t="s">
        <v>7</v>
      </c>
      <c r="L7" s="179" t="s">
        <v>42</v>
      </c>
      <c r="M7" s="206" t="s">
        <v>43</v>
      </c>
      <c r="N7" s="207" t="s">
        <v>368</v>
      </c>
      <c r="O7" s="207" t="s">
        <v>369</v>
      </c>
      <c r="P7" s="8"/>
      <c r="Q7" s="8"/>
      <c r="R7" s="8"/>
      <c r="S7" s="8" t="s">
        <v>45</v>
      </c>
      <c r="T7" s="19" t="s">
        <v>46</v>
      </c>
      <c r="U7" s="20" t="s">
        <v>47</v>
      </c>
      <c r="V7" s="21" t="s">
        <v>42</v>
      </c>
      <c r="W7" s="19" t="s">
        <v>43</v>
      </c>
      <c r="X7" s="21" t="s">
        <v>44</v>
      </c>
      <c r="Y7" s="22" t="s">
        <v>48</v>
      </c>
      <c r="Z7" s="21" t="s">
        <v>49</v>
      </c>
      <c r="AA7" s="21" t="s">
        <v>50</v>
      </c>
      <c r="AB7" s="21" t="s">
        <v>51</v>
      </c>
      <c r="AC7" s="21" t="s">
        <v>52</v>
      </c>
      <c r="AD7" s="19" t="s">
        <v>53</v>
      </c>
      <c r="AE7" s="21" t="s">
        <v>54</v>
      </c>
      <c r="AF7" s="21" t="s">
        <v>55</v>
      </c>
      <c r="AG7" s="22" t="s">
        <v>56</v>
      </c>
      <c r="AH7" s="19" t="s">
        <v>57</v>
      </c>
      <c r="AI7" s="21" t="s">
        <v>58</v>
      </c>
      <c r="AJ7" s="21" t="s">
        <v>59</v>
      </c>
      <c r="AK7" s="22" t="s">
        <v>60</v>
      </c>
      <c r="AL7" s="19" t="s">
        <v>61</v>
      </c>
      <c r="AM7" s="21" t="s">
        <v>62</v>
      </c>
      <c r="AN7" s="21" t="s">
        <v>63</v>
      </c>
      <c r="AO7" s="22" t="s">
        <v>64</v>
      </c>
      <c r="AP7" s="19" t="s">
        <v>65</v>
      </c>
      <c r="AQ7" s="21" t="s">
        <v>57</v>
      </c>
      <c r="AR7" s="21" t="s">
        <v>58</v>
      </c>
      <c r="AS7" s="21" t="s">
        <v>59</v>
      </c>
      <c r="AT7" s="21" t="s">
        <v>60</v>
      </c>
      <c r="AU7" s="21" t="s">
        <v>66</v>
      </c>
      <c r="AV7" s="21" t="s">
        <v>67</v>
      </c>
      <c r="AW7" s="21" t="s">
        <v>68</v>
      </c>
      <c r="AX7" s="21" t="s">
        <v>69</v>
      </c>
      <c r="AY7" s="21" t="s">
        <v>70</v>
      </c>
      <c r="AZ7" s="21" t="s">
        <v>71</v>
      </c>
      <c r="BA7" s="21" t="s">
        <v>72</v>
      </c>
      <c r="BB7" s="19" t="s">
        <v>73</v>
      </c>
      <c r="BC7" s="21" t="s">
        <v>74</v>
      </c>
      <c r="BD7" s="21" t="s">
        <v>75</v>
      </c>
      <c r="BE7" s="22" t="s">
        <v>76</v>
      </c>
      <c r="BF7" s="8"/>
      <c r="BG7" s="8"/>
      <c r="BH7" s="8"/>
    </row>
    <row r="8" spans="2:60">
      <c r="B8" s="180">
        <v>46184.833333333343</v>
      </c>
      <c r="C8" s="182" t="s">
        <v>77</v>
      </c>
      <c r="D8" s="17" t="str">
        <f>+Instructions!F15</f>
        <v>Korea Republic (KOR)</v>
      </c>
      <c r="E8" s="151">
        <v>0</v>
      </c>
      <c r="F8" s="24" t="str">
        <f>+Instructions!F16</f>
        <v>Czechia (CZE)</v>
      </c>
      <c r="G8" s="151">
        <v>0</v>
      </c>
      <c r="H8" s="15"/>
      <c r="I8" s="8"/>
      <c r="J8" s="25">
        <f>Q8</f>
        <v>1</v>
      </c>
      <c r="K8" s="26" t="str">
        <f t="array" ref="K8">INDEX(U8:U11,MATCH(S8,$T8:$T11,0))</f>
        <v>MEX</v>
      </c>
      <c r="L8" s="27">
        <f t="array" ref="L8">INDEX(V8:V11,MATCH(S8,$T8:$T11,0))</f>
        <v>9</v>
      </c>
      <c r="M8" s="28">
        <f t="array" ref="M8">INDEX(W8:W11,MATCH(S8,$T8:$T11,0))</f>
        <v>3</v>
      </c>
      <c r="N8" s="27">
        <f t="array" ref="N8">INDEX(X8:X11,MATCH(S8,$T8:$T11,0))</f>
        <v>0</v>
      </c>
      <c r="O8" s="29">
        <f t="array" ref="O8">INDEX(Y8:Y11,MATCH(S8,$T8:$T11,0))</f>
        <v>3</v>
      </c>
      <c r="P8" s="8"/>
      <c r="Q8" s="30">
        <v>1</v>
      </c>
      <c r="R8" s="30">
        <f>ROUND(S8,0)</f>
        <v>1</v>
      </c>
      <c r="S8" s="31">
        <f>+SMALL(T8:T11,1)</f>
        <v>0.95000000000000018</v>
      </c>
      <c r="T8" s="32">
        <f>SUM(AL8:AO8)+2.45</f>
        <v>0.95000000000000018</v>
      </c>
      <c r="U8" s="33" t="str">
        <f>+Instructions!E13</f>
        <v>MEX</v>
      </c>
      <c r="V8" s="10">
        <f>SUM(Z8:AC8)</f>
        <v>9</v>
      </c>
      <c r="W8" s="34">
        <f>E7+E9+G11</f>
        <v>3</v>
      </c>
      <c r="X8" s="10">
        <f>G7+G9+E11</f>
        <v>0</v>
      </c>
      <c r="Y8" s="35">
        <f>W8-X8</f>
        <v>3</v>
      </c>
      <c r="Z8" s="10" t="s">
        <v>78</v>
      </c>
      <c r="AA8" s="10">
        <f>IF(ISBLANK(E7),0,IF(E7&gt;G7,3,IF(E7=G7,1,0)))</f>
        <v>3</v>
      </c>
      <c r="AB8" s="10">
        <f>IF(ISBLANK(E9),0,IF(E9&gt;G9,3,IF(E9=G9,1,0)))</f>
        <v>3</v>
      </c>
      <c r="AC8" s="10">
        <f>IF(ISBLANK(G11),0,IF(G11&gt;E11,3,IF(G11=E11,1,0)))</f>
        <v>3</v>
      </c>
      <c r="AD8" s="34" t="s">
        <v>78</v>
      </c>
      <c r="AE8" s="10" t="b">
        <f>(10*(Y8-Y9)+W8-W9&gt;0)</f>
        <v>1</v>
      </c>
      <c r="AF8" s="10" t="b">
        <f>10*(Y8-Y10)+W8-W10&gt;0</f>
        <v>1</v>
      </c>
      <c r="AG8" s="35" t="b">
        <f>10*(Y8-Y11)+W8-W11&gt;0</f>
        <v>1</v>
      </c>
      <c r="AH8" s="34">
        <f>10000*(AA8+AB8)+(E9-G9+E7-G7)*100+(E9+E7)</f>
        <v>60202</v>
      </c>
      <c r="AI8" s="10">
        <f>10000*(AA8+AC8)+(E7-G7+G11-E11)*100+(E7+G11)</f>
        <v>60202</v>
      </c>
      <c r="AJ8" s="10">
        <f>10000*(AB8+AC8)+(E9-G9+G11-E11)*100+(E9+G11)</f>
        <v>60202</v>
      </c>
      <c r="AK8" s="35" t="s">
        <v>78</v>
      </c>
      <c r="AL8" s="34" t="s">
        <v>78</v>
      </c>
      <c r="AM8" s="36">
        <f>IF($V8&gt;$V9,-0.5,IF($V9&gt;$V8,0.5,IF(AE8,-0.5,IF(AD9,0.5,BC8))))</f>
        <v>-0.5</v>
      </c>
      <c r="AN8" s="36">
        <f>IF($V8&gt;$V10,-0.5,IF($V10&gt;$V8,0.5,IF(AF8,-0.5,IF(AD10,0.5,BD8))))</f>
        <v>-0.5</v>
      </c>
      <c r="AO8" s="37">
        <f>IF($V8&gt;$V11,-0.5,IF($V11&gt;$V8,0.5,IF(AG8,-0.5,IF(AD11,0.5,BE8))))</f>
        <v>-0.5</v>
      </c>
      <c r="AP8" s="38" t="b">
        <f>AND(AND(V8=V9,V9=V10,V10=V11),AND(W8=W9,W9=W10,W10=W11),AND(X8=X9,X9=X10,X10=X11))</f>
        <v>0</v>
      </c>
      <c r="AQ8" s="38" t="b">
        <f>AND(NOT(AP8),V8=V9,V8=V10,W8=W9,W8=W10,X8=X9,X8=X10)</f>
        <v>0</v>
      </c>
      <c r="AR8" s="38" t="b">
        <f>AND(NOT(AP8),V8=V9,V8=V11,W8=W9,W8=W11,X8=X9,X8=X11)</f>
        <v>0</v>
      </c>
      <c r="AS8" s="38" t="b">
        <f>AND(NOT(AP8),V8=V10,V8=V11,W8=W10,W8=W11,X8=X10,X8=X11)</f>
        <v>0</v>
      </c>
      <c r="AT8" s="38" t="b">
        <f>AND(NOT(AP8),V9=V10,V9=V11,W9=W10,W9=W11,X9=X10,X9=X11)</f>
        <v>0</v>
      </c>
      <c r="AU8" s="38" t="b">
        <f>AND(NOT(AP8),NOT(AQ8),NOT(AR8),V8=V9,W8=W9,X8=X9)</f>
        <v>0</v>
      </c>
      <c r="AV8" s="38" t="b">
        <f>AND(NOT(AP8),NOT(AQ8),NOT(AS8),V8=V10,W8=W10,X8=X10)</f>
        <v>0</v>
      </c>
      <c r="AW8" s="38" t="b">
        <f>AND(NOT(AP8),NOT(AR8),NOT(AS8),V8=V11,W8=W11,X8=X11)</f>
        <v>0</v>
      </c>
      <c r="AX8" s="38" t="b">
        <f>AND(NOT(AP8),NOT(AQ8),NOT(AT8),V9=V10,W9=W10)</f>
        <v>0</v>
      </c>
      <c r="AY8" s="38" t="b">
        <f>AND(NOT(AP8),NOT(AR8),NOT(AT8),V9=V11,W9=W11,X9=X11)</f>
        <v>0</v>
      </c>
      <c r="AZ8" s="38" t="b">
        <f>AND(NOT(AP8),NOT(AS8),NOT(AT8),V10=V11,W10=W11,X10=X11)</f>
        <v>0</v>
      </c>
      <c r="BA8" s="38" t="b">
        <f t="array" ref="BA8">AND(NOT(AP8:AZ8))</f>
        <v>1</v>
      </c>
      <c r="BB8" s="34" t="s">
        <v>78</v>
      </c>
      <c r="BC8" s="39">
        <f>IF($AU8,IF(G7-E7&lt;0,-0.5,IF(E7-G7&lt;0,0.5,0)),IF($AQ8,IF($AH8&gt;$AH9,-0.5,IF($AH8&lt;$AH9,0.5,0)),IF($AR8,IF($AI8&gt;$AI9,-0.5, IF($AI8&lt;$AI9,0.5,0)),0)))</f>
        <v>0</v>
      </c>
      <c r="BD8" s="39">
        <f>IF($AV8,IF(G9-E9&lt;0,-0.5,IF(E9-G9&lt;0,0.5,0)),IF($AQ8,IF($AH8&gt;$AH10,-0.5,IF($AH8&lt;$AH10,0.5,0)),IF($AS8,IF($AJ8&gt;$AJ10,-0.5,IF($AJ8&lt;$AJ10,0.5,0)),0)))</f>
        <v>0</v>
      </c>
      <c r="BE8" s="40">
        <f>IF($AW8,IF(E11-G11&lt;0,-0.5,IF(G11-E11&lt;0,0.5,0)),IF($AR8,IF($AI8&gt;$AI11,-0.5,IF($AI8&lt;$AI11,0.5,0)),IF($AS8,IF($AJ8&gt;$AJ11,-0.5, IF($AJ8&lt;$AJ11,0.5,0)),0)))</f>
        <v>0</v>
      </c>
      <c r="BF8" s="8"/>
      <c r="BG8" s="8"/>
      <c r="BH8" s="8"/>
    </row>
    <row r="9" spans="2:60">
      <c r="B9" s="180">
        <v>46191.791666666657</v>
      </c>
      <c r="C9" s="182" t="s">
        <v>77</v>
      </c>
      <c r="D9" s="33" t="str">
        <f>+Instructions!F13</f>
        <v>Mexico (MEX)</v>
      </c>
      <c r="E9" s="151">
        <v>1</v>
      </c>
      <c r="F9" s="24" t="str">
        <f>+Instructions!F15</f>
        <v>Korea Republic (KOR)</v>
      </c>
      <c r="G9" s="151">
        <v>0</v>
      </c>
      <c r="H9" s="15"/>
      <c r="I9" s="8"/>
      <c r="J9" s="41">
        <f>Q9</f>
        <v>2</v>
      </c>
      <c r="K9" s="42" t="str">
        <f t="array" ref="K9">INDEX(U8:U11,MATCH(S9,$T8:$T11,0))</f>
        <v>KOR</v>
      </c>
      <c r="L9" s="43">
        <f t="array" ref="L9">INDEX(V8:V11,MATCH(S9,$T8:$T11,0))</f>
        <v>4</v>
      </c>
      <c r="M9" s="44">
        <f t="array" ref="M9">INDEX(W8:W11,MATCH(S9,$T8:$T11,0))</f>
        <v>1</v>
      </c>
      <c r="N9" s="43">
        <f t="array" ref="N9">INDEX(X8:X11,MATCH(S9,$T8:$T11,0))</f>
        <v>1</v>
      </c>
      <c r="O9" s="45">
        <f t="array" ref="O9">INDEX(Y8:Y11,MATCH(S9,$T8:$T11,0))</f>
        <v>0</v>
      </c>
      <c r="P9" s="8"/>
      <c r="Q9" s="30">
        <f>IF(ROUND(S9,0)=ROUND(S8,0),Q8,2)</f>
        <v>2</v>
      </c>
      <c r="R9" s="30">
        <f>ROUND(S9,0)</f>
        <v>2</v>
      </c>
      <c r="S9" s="31">
        <f>+SMALL(T8:T11,2)</f>
        <v>1.9700000000000002</v>
      </c>
      <c r="T9" s="46">
        <f>SUM(AL9:AO9)+2.46</f>
        <v>3.96</v>
      </c>
      <c r="U9" s="33" t="str">
        <f>+Instructions!E14</f>
        <v>RSA</v>
      </c>
      <c r="V9" s="10">
        <f>SUM(Z9:AC9)</f>
        <v>1</v>
      </c>
      <c r="W9" s="34">
        <f>G7+G10+E12</f>
        <v>0</v>
      </c>
      <c r="X9" s="10">
        <f>E7+E10+G12</f>
        <v>2</v>
      </c>
      <c r="Y9" s="35">
        <f>W9-X9</f>
        <v>-2</v>
      </c>
      <c r="Z9" s="10">
        <f>IF(ISBLANK(G7),0,IF(AA8=3,0,IF(AA8=1,1,3)))</f>
        <v>0</v>
      </c>
      <c r="AA9" s="10" t="s">
        <v>78</v>
      </c>
      <c r="AB9" s="10">
        <f>IF(ISBLANK(E12),0,IF(AA10=3,0,IF(AA10=1,1,3)))</f>
        <v>0</v>
      </c>
      <c r="AC9" s="10">
        <f>IF(ISBLANK(G10),0,IF(G10&gt;E10,3,IF(G10=E10,1,0)))</f>
        <v>1</v>
      </c>
      <c r="AD9" s="34" t="b">
        <f>(10*(Y8-Y9)+W8-W9&lt;0)</f>
        <v>0</v>
      </c>
      <c r="AE9" s="10" t="s">
        <v>78</v>
      </c>
      <c r="AF9" s="10" t="b">
        <f>10*(Y9-Y10)+W9-W10&gt;0</f>
        <v>0</v>
      </c>
      <c r="AG9" s="35" t="b">
        <f>10*(Y9-Y11)+W9-W11&gt;0</f>
        <v>0</v>
      </c>
      <c r="AH9" s="34">
        <f>10000*(Z9+AB9)+(G7-E7+E12-G12)*100+(G7+E12)</f>
        <v>-200</v>
      </c>
      <c r="AI9" s="10">
        <f>10000*(Z9+AC9)+(G7-E7+G10-E10)*100+(G7+G10)</f>
        <v>9900</v>
      </c>
      <c r="AJ9" s="10" t="s">
        <v>78</v>
      </c>
      <c r="AK9" s="35">
        <f>10000*(AB9+AC9)+(G10-E10+E12-G12)*100+(G10+E12)</f>
        <v>9900</v>
      </c>
      <c r="AL9" s="47">
        <f>-AM8</f>
        <v>0.5</v>
      </c>
      <c r="AM9" s="10" t="s">
        <v>78</v>
      </c>
      <c r="AN9" s="36">
        <f>IF($V9&gt;$V10,-0.5,IF($V10&gt;$V9,0.5,IF(AF9,-0.5,IF(AE10,0.5,BD9))))</f>
        <v>0.5</v>
      </c>
      <c r="AO9" s="37">
        <f>IF($V9&gt;$V11,-0.5,IF($V11&gt;$V9,0.5,IF(AG9,-0.5,IF(AE11,0.5,BE9))))</f>
        <v>0.5</v>
      </c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34"/>
      <c r="BC9" s="39" t="s">
        <v>78</v>
      </c>
      <c r="BD9" s="48">
        <f>IF($AX8,IF(G12-E12&lt;0,-0.5,IF(E12-G12&lt;0,0.5,0)),IF($AQ8,IF($AH9&gt;$AH10,-0.5,IF($AH9&lt;$AH10,0.5,0)),IF($AT8,IF($AK9&gt;$AK10,-0.5,IF($AK9&lt;$AK10,0.5,0)),0)))</f>
        <v>0</v>
      </c>
      <c r="BE9" s="40">
        <f>IF($AY8,IF(E10-G10&lt;0,-0.5,IF(G10-E10&lt;0,0.5,0)),IF($AR8,IF($AI9&gt;$AI11,-0.5,IF($AI9&lt;$AI11,0.5,0)),IF($AT8,IF($AK9&gt;$AK11,-0.5,IF($AK9&lt;$AK11,0.5,0)),0)))</f>
        <v>0</v>
      </c>
      <c r="BF9" s="8"/>
      <c r="BG9" s="8"/>
      <c r="BH9" s="8"/>
    </row>
    <row r="10" spans="2:60">
      <c r="B10" s="180">
        <v>46191.416666666657</v>
      </c>
      <c r="C10" s="182" t="s">
        <v>79</v>
      </c>
      <c r="D10" s="17" t="str">
        <f>+Instructions!F16</f>
        <v>Czechia (CZE)</v>
      </c>
      <c r="E10" s="151">
        <v>0</v>
      </c>
      <c r="F10" s="49" t="str">
        <f>+Instructions!F14</f>
        <v>South Africa (RSA)</v>
      </c>
      <c r="G10" s="151">
        <v>0</v>
      </c>
      <c r="H10" s="15"/>
      <c r="I10" s="8"/>
      <c r="J10" s="50">
        <f>Q10</f>
        <v>3</v>
      </c>
      <c r="K10" s="51" t="str">
        <f t="array" ref="K10">INDEX(U8:U11,MATCH(S10,$T8:$T11,0))</f>
        <v>CZE</v>
      </c>
      <c r="L10" s="52">
        <f t="array" ref="L10">INDEX(V8:V11,MATCH(S10,$T8:$T11,0))</f>
        <v>2</v>
      </c>
      <c r="M10" s="53">
        <f t="array" ref="M10">INDEX(W8:W11,MATCH(S10,$T8:$T11,0))</f>
        <v>0</v>
      </c>
      <c r="N10" s="54">
        <f t="array" ref="N10">INDEX(X8:X11,MATCH(S10,$T8:$T11,0))</f>
        <v>1</v>
      </c>
      <c r="O10" s="52">
        <f t="array" ref="O10">INDEX(Y8:Y11,MATCH(S10,$T8:$T11,0))</f>
        <v>-1</v>
      </c>
      <c r="P10" s="8"/>
      <c r="Q10" s="30">
        <f>IF(ROUND(S10,0)=ROUND(S9,0),Q9,3)</f>
        <v>3</v>
      </c>
      <c r="R10" s="30">
        <f>ROUND(S10,0)</f>
        <v>3</v>
      </c>
      <c r="S10" s="31">
        <f>+SMALL(T8:T11,3)</f>
        <v>2.98</v>
      </c>
      <c r="T10" s="46">
        <f>SUM(AL10:AO10)+2.47</f>
        <v>1.9700000000000002</v>
      </c>
      <c r="U10" s="33" t="str">
        <f>+Instructions!E15</f>
        <v>KOR</v>
      </c>
      <c r="V10" s="10">
        <f>SUM(Z10:AC10)</f>
        <v>4</v>
      </c>
      <c r="W10" s="34">
        <f>E8+G9+G12</f>
        <v>1</v>
      </c>
      <c r="X10" s="10">
        <f>G8+E9+E12</f>
        <v>1</v>
      </c>
      <c r="Y10" s="35">
        <f>W10-X10</f>
        <v>0</v>
      </c>
      <c r="Z10" s="10">
        <f>IF(ISBLANK(G9),0,IF(AB8=3,0,IF(AB8=1,1,3)))</f>
        <v>0</v>
      </c>
      <c r="AA10" s="10">
        <f>IF(ISBLANK(G12),0,IF(G12&gt;E12,3,IF(G12=E12,1,0)))</f>
        <v>3</v>
      </c>
      <c r="AB10" s="10" t="s">
        <v>78</v>
      </c>
      <c r="AC10" s="10">
        <f>IF(ISBLANK(E8),0,IF(E8&gt;G8,3,IF(E8=G8,1,0)))</f>
        <v>1</v>
      </c>
      <c r="AD10" s="34" t="b">
        <f>10*(Y8-Y10)+W8-W10&lt;0</f>
        <v>0</v>
      </c>
      <c r="AE10" s="10" t="b">
        <f>10*(Y9-Y10)+W9-W10&lt;0</f>
        <v>1</v>
      </c>
      <c r="AF10" s="10" t="s">
        <v>78</v>
      </c>
      <c r="AG10" s="35" t="b">
        <f>10*(Y10-Y11)+W10-W11&gt;0</f>
        <v>1</v>
      </c>
      <c r="AH10" s="34">
        <f>10000*(Z10+AA10)+(G9-E9+G12-E12)*100+(G9+G12)</f>
        <v>30001</v>
      </c>
      <c r="AI10" s="10" t="s">
        <v>78</v>
      </c>
      <c r="AJ10" s="10">
        <f>10000*(Z10+AC10)+(E8-G8+G9-E9)*100+(E8+G9)</f>
        <v>9900</v>
      </c>
      <c r="AK10" s="35">
        <f>10000*(AA10+AC10)+(E8-G8+G12-E12)*100+(E8+G12)</f>
        <v>40101</v>
      </c>
      <c r="AL10" s="47">
        <f>-AN8</f>
        <v>0.5</v>
      </c>
      <c r="AM10" s="36">
        <f>-AN9</f>
        <v>-0.5</v>
      </c>
      <c r="AN10" s="36" t="s">
        <v>78</v>
      </c>
      <c r="AO10" s="37">
        <f>IF($V10&gt;$V11,-0.5,IF($V11&gt;$V10,0.5,IF(AG10,-0.5,IF(AF11,0.5,BE10))))</f>
        <v>-0.5</v>
      </c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34"/>
      <c r="BC10" s="39"/>
      <c r="BD10" s="39" t="s">
        <v>78</v>
      </c>
      <c r="BE10" s="40">
        <f>IF($AZ8,IF(G8-E8&lt;0,-0.5,IF(E8-G8&lt;0,0.5,0)),IF($AS8,IF($AJ10&gt;$AJ11,-0.5,IF($AJ10&lt;$AJ11,0.5,0)),IF($AT8,IF($AK10&gt;$AK11,-0.5,IF($AK10&lt;$AK11,0.5,0)),0)))</f>
        <v>0</v>
      </c>
      <c r="BF10" s="8"/>
      <c r="BG10" s="8"/>
      <c r="BH10" s="8"/>
    </row>
    <row r="11" spans="2:60">
      <c r="B11" s="180">
        <v>46197.791666666657</v>
      </c>
      <c r="C11" s="182" t="s">
        <v>41</v>
      </c>
      <c r="D11" s="17" t="str">
        <f>+Instructions!F16</f>
        <v>Czechia (CZE)</v>
      </c>
      <c r="E11" s="151">
        <v>0</v>
      </c>
      <c r="F11" s="24" t="str">
        <f>+Instructions!F13</f>
        <v>Mexico (MEX)</v>
      </c>
      <c r="G11" s="151">
        <v>1</v>
      </c>
      <c r="H11" s="15"/>
      <c r="I11" s="8"/>
      <c r="J11" s="55">
        <f>Q11</f>
        <v>4</v>
      </c>
      <c r="K11" s="56" t="str">
        <f t="array" ref="K11">INDEX(U8:U11,MATCH(S11,$T8:$T11,0))</f>
        <v>RSA</v>
      </c>
      <c r="L11" s="57">
        <f t="array" ref="L11">INDEX(V8:V11,MATCH(S11,$T8:$T11,0))</f>
        <v>1</v>
      </c>
      <c r="M11" s="58">
        <f t="array" ref="M11">INDEX(W8:W11,MATCH(S11,$T8:$T11,0))</f>
        <v>0</v>
      </c>
      <c r="N11" s="57">
        <f t="array" ref="N11">INDEX(X8:X11,MATCH(S11,$T8:$T11,0))</f>
        <v>2</v>
      </c>
      <c r="O11" s="59">
        <f t="array" ref="O11">INDEX(Y8:Y11,MATCH(S11,$T8:$T11,0))</f>
        <v>-2</v>
      </c>
      <c r="P11" s="8"/>
      <c r="Q11" s="30">
        <f>IF(ROUND(S11,0)=ROUND(S10,0),Q10,4)</f>
        <v>4</v>
      </c>
      <c r="R11" s="30">
        <f>ROUND(S11,0)</f>
        <v>4</v>
      </c>
      <c r="S11" s="31">
        <f>+SMALL(T8:T11,4)</f>
        <v>3.96</v>
      </c>
      <c r="T11" s="60">
        <f>SUM(AL11:AO11)+2.48</f>
        <v>2.98</v>
      </c>
      <c r="U11" s="61" t="str">
        <f>+Instructions!E16</f>
        <v>CZE</v>
      </c>
      <c r="V11" s="38">
        <f>SUM(Z11:AC11)</f>
        <v>2</v>
      </c>
      <c r="W11" s="62">
        <f>G8+E10+E11</f>
        <v>0</v>
      </c>
      <c r="X11" s="38">
        <f>E8+G10+G11</f>
        <v>1</v>
      </c>
      <c r="Y11" s="63">
        <f>W11-X11</f>
        <v>-1</v>
      </c>
      <c r="Z11" s="38">
        <f>IF(ISBLANK(E11),0,IF(AC8=3,0,IF(AC8=1,1,3)))</f>
        <v>0</v>
      </c>
      <c r="AA11" s="38">
        <f>IF(ISBLANK(E10),0,IF(AC9=3,0,IF(AC9=1,1,3)))</f>
        <v>1</v>
      </c>
      <c r="AB11" s="38">
        <f>IF(ISBLANK(G8),0,IF(AC10=3,0,IF(AC10=1,1,3)))</f>
        <v>1</v>
      </c>
      <c r="AC11" s="38" t="s">
        <v>78</v>
      </c>
      <c r="AD11" s="62" t="b">
        <f>10*(Y8-Y11)+W8-W11&lt;0</f>
        <v>0</v>
      </c>
      <c r="AE11" s="38" t="b">
        <f>10*(Y9-Y11)+W9-W11&lt;0</f>
        <v>1</v>
      </c>
      <c r="AF11" s="38" t="b">
        <f>10*(Y10-Y11)+W10-W11&lt;0</f>
        <v>0</v>
      </c>
      <c r="AG11" s="63" t="s">
        <v>78</v>
      </c>
      <c r="AH11" s="62" t="s">
        <v>78</v>
      </c>
      <c r="AI11" s="38">
        <f>10000*(Z11+AA11)+(E11-G11+E10-G10)*100+(E11+E10)</f>
        <v>9900</v>
      </c>
      <c r="AJ11" s="38">
        <f>10000*(Z11+AB11)+(G8-E8+E11-G11)*100+(G8+E11)</f>
        <v>9900</v>
      </c>
      <c r="AK11" s="63">
        <f>10000*(AA11+AB11)+(E10-G10+G8-E8)*100+(E10+G8)</f>
        <v>20000</v>
      </c>
      <c r="AL11" s="64">
        <f>-AO8</f>
        <v>0.5</v>
      </c>
      <c r="AM11" s="65">
        <f>-AO9</f>
        <v>-0.5</v>
      </c>
      <c r="AN11" s="65">
        <f>-AO10</f>
        <v>0.5</v>
      </c>
      <c r="AO11" s="63" t="s">
        <v>78</v>
      </c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62"/>
      <c r="BC11" s="66"/>
      <c r="BD11" s="66"/>
      <c r="BE11" s="67" t="s">
        <v>78</v>
      </c>
      <c r="BF11" s="8"/>
      <c r="BG11" s="8"/>
      <c r="BH11" s="8"/>
    </row>
    <row r="12" spans="2:60">
      <c r="B12" s="183">
        <v>46197.791666666657</v>
      </c>
      <c r="C12" s="184" t="s">
        <v>80</v>
      </c>
      <c r="D12" s="68" t="str">
        <f>+Instructions!F14</f>
        <v>South Africa (RSA)</v>
      </c>
      <c r="E12" s="151">
        <v>0</v>
      </c>
      <c r="F12" s="69" t="str">
        <f>+Instructions!F15</f>
        <v>Korea Republic (KOR)</v>
      </c>
      <c r="G12" s="151">
        <v>1</v>
      </c>
      <c r="H12" s="15"/>
      <c r="I12" s="8"/>
      <c r="J12" s="10"/>
      <c r="K12" s="70" t="str">
        <f>IF(ISBLANK(G12)," ",+IF(OR(J10&lt;3,J9&lt;2),"TIE BREAK! Pick your qualifiers on the Knock-Out Predictions sheet"," "))</f>
        <v xml:space="preserve"> </v>
      </c>
      <c r="L12" s="8"/>
      <c r="M12" s="8"/>
      <c r="N12" s="8"/>
      <c r="O12" s="8"/>
      <c r="P12" s="8"/>
      <c r="Q12" s="8"/>
      <c r="R12" s="31"/>
      <c r="S12" s="31"/>
      <c r="T12" s="31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spans="2:60">
      <c r="B13" s="11"/>
      <c r="C13" s="12"/>
      <c r="D13" s="8"/>
      <c r="E13" s="13"/>
      <c r="F13" s="14"/>
      <c r="G13" s="13"/>
      <c r="H13" s="15"/>
      <c r="I13" s="8"/>
      <c r="J13" s="1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spans="2:60">
      <c r="B14" s="231" t="s">
        <v>81</v>
      </c>
      <c r="C14" s="232"/>
      <c r="D14" s="232"/>
      <c r="E14" s="232"/>
      <c r="F14" s="232"/>
      <c r="G14" s="233"/>
      <c r="H14" s="15"/>
      <c r="I14" s="8"/>
      <c r="J14" s="1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spans="2:60">
      <c r="B15" s="180">
        <v>46185.541666666657</v>
      </c>
      <c r="C15" s="181" t="s">
        <v>82</v>
      </c>
      <c r="D15" s="17" t="str">
        <f>+Instructions!F19</f>
        <v>Canada (CAN)</v>
      </c>
      <c r="E15" s="150">
        <v>1</v>
      </c>
      <c r="F15" s="71" t="str">
        <f>+Instructions!F20</f>
        <v>Bosnia and Herzegovina (BIH)</v>
      </c>
      <c r="G15" s="150">
        <v>0</v>
      </c>
      <c r="H15" s="15"/>
      <c r="I15" s="8"/>
      <c r="J15" s="18"/>
      <c r="K15" s="178" t="s">
        <v>81</v>
      </c>
      <c r="L15" s="179" t="s">
        <v>42</v>
      </c>
      <c r="M15" s="206" t="s">
        <v>43</v>
      </c>
      <c r="N15" s="207" t="s">
        <v>368</v>
      </c>
      <c r="O15" s="207" t="s">
        <v>369</v>
      </c>
      <c r="P15" s="8"/>
      <c r="Q15" s="8"/>
      <c r="R15" s="8"/>
      <c r="S15" s="8"/>
      <c r="T15" s="19" t="s">
        <v>46</v>
      </c>
      <c r="U15" s="20" t="s">
        <v>47</v>
      </c>
      <c r="V15" s="21" t="s">
        <v>42</v>
      </c>
      <c r="W15" s="19" t="s">
        <v>43</v>
      </c>
      <c r="X15" s="21" t="s">
        <v>44</v>
      </c>
      <c r="Y15" s="22" t="s">
        <v>48</v>
      </c>
      <c r="Z15" s="21" t="s">
        <v>49</v>
      </c>
      <c r="AA15" s="21" t="s">
        <v>50</v>
      </c>
      <c r="AB15" s="21" t="s">
        <v>51</v>
      </c>
      <c r="AC15" s="21" t="s">
        <v>52</v>
      </c>
      <c r="AD15" s="19" t="s">
        <v>53</v>
      </c>
      <c r="AE15" s="21" t="s">
        <v>54</v>
      </c>
      <c r="AF15" s="21" t="s">
        <v>55</v>
      </c>
      <c r="AG15" s="22" t="s">
        <v>56</v>
      </c>
      <c r="AH15" s="19" t="s">
        <v>57</v>
      </c>
      <c r="AI15" s="21" t="s">
        <v>58</v>
      </c>
      <c r="AJ15" s="21" t="s">
        <v>59</v>
      </c>
      <c r="AK15" s="22" t="s">
        <v>60</v>
      </c>
      <c r="AL15" s="19" t="s">
        <v>61</v>
      </c>
      <c r="AM15" s="21" t="s">
        <v>62</v>
      </c>
      <c r="AN15" s="21" t="s">
        <v>63</v>
      </c>
      <c r="AO15" s="22" t="s">
        <v>64</v>
      </c>
      <c r="AP15" s="19" t="s">
        <v>65</v>
      </c>
      <c r="AQ15" s="21" t="s">
        <v>57</v>
      </c>
      <c r="AR15" s="21" t="s">
        <v>58</v>
      </c>
      <c r="AS15" s="21" t="s">
        <v>59</v>
      </c>
      <c r="AT15" s="21" t="s">
        <v>60</v>
      </c>
      <c r="AU15" s="21" t="s">
        <v>66</v>
      </c>
      <c r="AV15" s="21" t="s">
        <v>67</v>
      </c>
      <c r="AW15" s="21" t="s">
        <v>68</v>
      </c>
      <c r="AX15" s="21" t="s">
        <v>69</v>
      </c>
      <c r="AY15" s="21" t="s">
        <v>70</v>
      </c>
      <c r="AZ15" s="21" t="s">
        <v>71</v>
      </c>
      <c r="BA15" s="22" t="s">
        <v>72</v>
      </c>
      <c r="BB15" s="19" t="s">
        <v>73</v>
      </c>
      <c r="BC15" s="21" t="s">
        <v>74</v>
      </c>
      <c r="BD15" s="21" t="s">
        <v>75</v>
      </c>
      <c r="BE15" s="22" t="s">
        <v>76</v>
      </c>
      <c r="BF15" s="8"/>
      <c r="BG15" s="8"/>
      <c r="BH15" s="8"/>
    </row>
    <row r="16" spans="2:60">
      <c r="B16" s="180">
        <v>46186.541666666664</v>
      </c>
      <c r="C16" s="182" t="s">
        <v>83</v>
      </c>
      <c r="D16" s="17" t="str">
        <f>+Instructions!F21</f>
        <v>Qatar (QAT)</v>
      </c>
      <c r="E16" s="151">
        <v>0</v>
      </c>
      <c r="F16" s="72" t="str">
        <f>+Instructions!F22</f>
        <v>Switzerland (SUI)</v>
      </c>
      <c r="G16" s="151">
        <v>2</v>
      </c>
      <c r="H16" s="15"/>
      <c r="I16" s="8"/>
      <c r="J16" s="25">
        <f>Q16</f>
        <v>1</v>
      </c>
      <c r="K16" s="73" t="str">
        <f t="array" ref="K16">INDEX(U16:U19,MATCH(S16,$T16:$T19,0))</f>
        <v>SUI</v>
      </c>
      <c r="L16" s="27">
        <f t="array" ref="L16">INDEX(V16:V19,MATCH(S16,$T16:$T19,0))</f>
        <v>9</v>
      </c>
      <c r="M16" s="28">
        <f t="array" ref="M16">INDEX(W16:W19,MATCH(S16,$T16:$T19,0))</f>
        <v>4</v>
      </c>
      <c r="N16" s="27">
        <f t="array" ref="N16">INDEX(X16:X19,MATCH(S16,$T16:$T19,0))</f>
        <v>0</v>
      </c>
      <c r="O16" s="29">
        <f t="array" ref="O16">INDEX(Y16:Y19,MATCH(S16,$T16:$T19,0))</f>
        <v>4</v>
      </c>
      <c r="P16" s="8"/>
      <c r="Q16" s="30">
        <v>1</v>
      </c>
      <c r="R16" s="30">
        <f>ROUND(S16,0)</f>
        <v>1</v>
      </c>
      <c r="S16" s="31">
        <f>+SMALL(T16:T19,1)</f>
        <v>0.98</v>
      </c>
      <c r="T16" s="32">
        <f>SUM(AL16:AO16)+2.45</f>
        <v>1.9500000000000002</v>
      </c>
      <c r="U16" s="33" t="str">
        <f>+Instructions!E19</f>
        <v>CAN</v>
      </c>
      <c r="V16" s="10">
        <f>SUM(Z16:AC16)</f>
        <v>6</v>
      </c>
      <c r="W16" s="34">
        <f>E15+E17+G19</f>
        <v>2</v>
      </c>
      <c r="X16" s="10">
        <f>G15+G17+E19</f>
        <v>1</v>
      </c>
      <c r="Y16" s="35">
        <f>W16-X16</f>
        <v>1</v>
      </c>
      <c r="Z16" s="10" t="s">
        <v>78</v>
      </c>
      <c r="AA16" s="10">
        <f>IF(ISBLANK(E15),0,IF(E15&gt;G15,3,IF(E15=G15,1,0)))</f>
        <v>3</v>
      </c>
      <c r="AB16" s="10">
        <f>IF(ISBLANK(E17),0,IF(E17&gt;G17,3,IF(E17=G17,1,0)))</f>
        <v>3</v>
      </c>
      <c r="AC16" s="10">
        <f>IF(ISBLANK(G19),0,IF(G19&gt;E19,3,IF(G19=E19,1,0)))</f>
        <v>0</v>
      </c>
      <c r="AD16" s="34" t="s">
        <v>78</v>
      </c>
      <c r="AE16" s="10" t="b">
        <f>(10*(Y16-Y17)+W16-W17&gt;0)</f>
        <v>1</v>
      </c>
      <c r="AF16" s="10" t="b">
        <f>10*(Y16-Y18)+W16-W18&gt;0</f>
        <v>1</v>
      </c>
      <c r="AG16" s="35" t="b">
        <f>10*(Y16-Y19)+W16-W19&gt;0</f>
        <v>0</v>
      </c>
      <c r="AH16" s="34">
        <f>10000*(AA16+AB16)+(E17-G17+E15-G15)*100+(E17+E15)</f>
        <v>60202</v>
      </c>
      <c r="AI16" s="10">
        <f>10000*(AA16+AC16)+(E15-G15+G19-E19)*100+(E15+G19)</f>
        <v>30001</v>
      </c>
      <c r="AJ16" s="10">
        <f>10000*(AB16+AC16)+(G19-E19+E17-G17)*100+(G19+E17)</f>
        <v>30001</v>
      </c>
      <c r="AK16" s="35" t="s">
        <v>78</v>
      </c>
      <c r="AL16" s="34" t="s">
        <v>78</v>
      </c>
      <c r="AM16" s="36">
        <f>IF($V16&gt;$V17,-0.5,IF($V17&gt;$V16,0.5,IF(AE16,-0.5,IF(AD17,0.5,BC16))))</f>
        <v>-0.5</v>
      </c>
      <c r="AN16" s="36">
        <f>IF($V16&gt;$V18,-0.5,IF($V18&gt;$V16,0.5,IF(AF16,-0.5,IF(AD18,0.5,BD16))))</f>
        <v>-0.5</v>
      </c>
      <c r="AO16" s="37">
        <f>IF($V16&gt;$V19,-0.5,IF($V19&gt;$V16,0.5,IF(AG16,-0.5,IF(AD19,0.5,BE16))))</f>
        <v>0.5</v>
      </c>
      <c r="AP16" s="38" t="b">
        <f>AND(AND(V16=V17,V17=V18,V18=V19),AND(W16=W17,W17=W18,W18=W19),AND(X16=X17,X17=X18,X18=X19))</f>
        <v>0</v>
      </c>
      <c r="AQ16" s="38" t="b">
        <f>AND(NOT(AP16),V16=V17,V16=V18,W16=W17,W16=W18,X16=X17,X16=X18)</f>
        <v>0</v>
      </c>
      <c r="AR16" s="38" t="b">
        <f>AND(NOT(AP16),V16=V17,V16=V19,W16=W17,W16=W19,X16=X17,X16=X19)</f>
        <v>0</v>
      </c>
      <c r="AS16" s="38" t="b">
        <f>AND(NOT(AP16),V16=V18,V16=V19,W16=W18,W16=W19,X16=X18,X16=X19)</f>
        <v>0</v>
      </c>
      <c r="AT16" s="38" t="b">
        <f>AND(NOT(AP16),V17=V18,V17=V19,W17=W18,W17=W19,X17=X18,X17=X19)</f>
        <v>0</v>
      </c>
      <c r="AU16" s="38" t="b">
        <f>AND(NOT(AP16),NOT(AQ16),NOT(AR16),V16=V17,W16=W17,X16=X17)</f>
        <v>0</v>
      </c>
      <c r="AV16" s="38" t="b">
        <f>AND(NOT(AP16),NOT(AQ16),NOT(AS16),V16=V18,W16=W18,X16=X18)</f>
        <v>0</v>
      </c>
      <c r="AW16" s="38" t="b">
        <f>AND(NOT(AP16),NOT(AR16),NOT(AS16),V16=V19,W16=W19,X16=X19)</f>
        <v>0</v>
      </c>
      <c r="AX16" s="38" t="b">
        <f>AND(NOT(AP16),NOT(AQ16),NOT(AT16),V17=V18,W17=W18)</f>
        <v>0</v>
      </c>
      <c r="AY16" s="38" t="b">
        <f>AND(NOT(AP16),NOT(AR16),NOT(AT16),V17=V19,W17=W19,X17=X19)</f>
        <v>0</v>
      </c>
      <c r="AZ16" s="38" t="b">
        <f>AND(NOT(AP16),NOT(AS16),NOT(AT16),V18=V19,W18=W19,X18=X19)</f>
        <v>0</v>
      </c>
      <c r="BA16" s="38" t="b">
        <f t="array" ref="BA16">AND(NOT(AP16:AZ16))</f>
        <v>1</v>
      </c>
      <c r="BB16" s="34" t="s">
        <v>78</v>
      </c>
      <c r="BC16" s="10">
        <f>IF($AU16,IF(G15-E15&lt;0,-0.5,IF(E15-G15&lt;0,0.5,0)),IF($AQ16,IF($AH16&gt;$AH17,-0.5,IF($AH16&lt;$AH17,0.5,0)),IF($AR16,IF($AI16&gt;$AI17,-0.5, IF($AI16&lt;$AI17,0.5,0)),0)))</f>
        <v>0</v>
      </c>
      <c r="BD16" s="10">
        <f>IF($AV16,IF(G17-E17&lt;0,-0.5,IF(E17-G17&lt;0,0.5,0)),IF($AQ16,IF($AH16&gt;$AH18,-0.5,IF($AH16&lt;$AH18,0.5,0)),IF($AS16,IF($AJ16&gt;$AJ18,-0.5,IF($AJ16&lt;$AJ18,0.5,0)),0)))</f>
        <v>0</v>
      </c>
      <c r="BE16" s="35">
        <f>IF($AW16,IF(E19-G19&lt;0,-0.5,IF(G19-E19&lt;0,0.5,0)),IF($AR16,IF($AI16&gt;$AI19,-0.5,IF($AI16&lt;$AI19,0.5,0)),IF($AS16,IF($AJ16&gt;$AJ19,-0.5, IF($AJ16&lt;$AJ19,0.5,0)),0)))</f>
        <v>0</v>
      </c>
      <c r="BF16" s="8"/>
      <c r="BG16" s="8"/>
      <c r="BH16" s="8"/>
    </row>
    <row r="17" spans="2:60">
      <c r="B17" s="180">
        <v>46191.666666666657</v>
      </c>
      <c r="C17" s="182" t="s">
        <v>84</v>
      </c>
      <c r="D17" s="17" t="str">
        <f>+Instructions!F19</f>
        <v>Canada (CAN)</v>
      </c>
      <c r="E17" s="151">
        <v>1</v>
      </c>
      <c r="F17" s="72" t="str">
        <f>+Instructions!F21</f>
        <v>Qatar (QAT)</v>
      </c>
      <c r="G17" s="151">
        <v>0</v>
      </c>
      <c r="H17" s="15"/>
      <c r="I17" s="8"/>
      <c r="J17" s="41">
        <f>Q17</f>
        <v>2</v>
      </c>
      <c r="K17" s="74" t="str">
        <f t="array" ref="K17">INDEX(U16:U19,MATCH(S17,$T16:$T19,0))</f>
        <v>CAN</v>
      </c>
      <c r="L17" s="43">
        <f t="array" ref="L17">INDEX(V16:V19,MATCH(S17,$T16:$T19,0))</f>
        <v>6</v>
      </c>
      <c r="M17" s="44">
        <f t="array" ref="M17">INDEX(W16:W19,MATCH(S17,$T16:$T19,0))</f>
        <v>2</v>
      </c>
      <c r="N17" s="43">
        <f t="array" ref="N17">INDEX(X16:X19,MATCH(S17,$T16:$T19,0))</f>
        <v>1</v>
      </c>
      <c r="O17" s="45">
        <f t="array" ref="O17">INDEX(Y16:Y19,MATCH(S17,$T16:$T19,0))</f>
        <v>1</v>
      </c>
      <c r="P17" s="8"/>
      <c r="Q17" s="30">
        <f>IF(ROUND(S17,0)=ROUND(S16,0),Q16,2)</f>
        <v>2</v>
      </c>
      <c r="R17" s="30">
        <f>ROUND(S17,0)</f>
        <v>2</v>
      </c>
      <c r="S17" s="31">
        <f>+SMALL(T16:T19,2)</f>
        <v>1.9500000000000002</v>
      </c>
      <c r="T17" s="46">
        <f>SUM(AL17:AO17)+2.46</f>
        <v>2.96</v>
      </c>
      <c r="U17" s="33" t="str">
        <f>+Instructions!E20</f>
        <v>BIH</v>
      </c>
      <c r="V17" s="10">
        <f>SUM(Z17:AC17)</f>
        <v>3</v>
      </c>
      <c r="W17" s="34">
        <f>G15+G18+E20</f>
        <v>1</v>
      </c>
      <c r="X17" s="10">
        <f>E15+E18+G20</f>
        <v>2</v>
      </c>
      <c r="Y17" s="35">
        <f>W17-X17</f>
        <v>-1</v>
      </c>
      <c r="Z17" s="10">
        <f>IF(ISBLANK(G15),0,IF(AA16=3,0,IF(AA16=1,1,3)))</f>
        <v>0</v>
      </c>
      <c r="AA17" s="10" t="s">
        <v>78</v>
      </c>
      <c r="AB17" s="10">
        <f>IF(ISBLANK(E20),0,IF(AA18=3,0,IF(AA18=1,1,3)))</f>
        <v>3</v>
      </c>
      <c r="AC17" s="10">
        <f>IF(ISBLANK(G18),0,IF(G18&gt;E18,3,IF(G18=E18,1,0)))</f>
        <v>0</v>
      </c>
      <c r="AD17" s="34" t="b">
        <f>(10*(Y16-Y17)+W16-W17&lt;0)</f>
        <v>0</v>
      </c>
      <c r="AE17" s="10" t="s">
        <v>78</v>
      </c>
      <c r="AF17" s="10" t="b">
        <f>10*(Y17-Y18)+W17-W18&gt;0</f>
        <v>1</v>
      </c>
      <c r="AG17" s="35" t="b">
        <f>10*(Y17-Y19)+W17-W19&gt;0</f>
        <v>0</v>
      </c>
      <c r="AH17" s="34">
        <f>10000*(Z17+AB17)+(G15-E15+E20-G20)*100+(G15+E20)</f>
        <v>30001</v>
      </c>
      <c r="AI17" s="10">
        <f>10000*(Z17+AC17)+(G15-E15+G18-E18)*100+(G15+G18)</f>
        <v>-200</v>
      </c>
      <c r="AJ17" s="10" t="s">
        <v>78</v>
      </c>
      <c r="AK17" s="35">
        <f>10000*(AB17+AC17)+(G18-E18+E20-G20)*100+(G18+E20)</f>
        <v>30001</v>
      </c>
      <c r="AL17" s="47">
        <f>-AM16</f>
        <v>0.5</v>
      </c>
      <c r="AM17" s="10" t="s">
        <v>78</v>
      </c>
      <c r="AN17" s="36">
        <f>IF($V17&gt;$V18,-0.5,IF($V18&gt;$V17,0.5,IF(AF17,-0.5,IF(AE18,0.5,BD17))))</f>
        <v>-0.5</v>
      </c>
      <c r="AO17" s="37">
        <f>IF($V17&gt;$V19,-0.5,IF($V19&gt;$V17,0.5,IF(AG17,-0.5,IF(AE19,0.5,BE17))))</f>
        <v>0.5</v>
      </c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34"/>
      <c r="BC17" s="10" t="s">
        <v>78</v>
      </c>
      <c r="BD17" s="10">
        <f>IF($AX16,IF(G20-E20&lt;0,-0.5,IF(E20-G20&lt;0,0.5,0)),IF($AQ16,IF($AH17&gt;$AH18,-0.5,IF($AH17&lt;$AH18,0.5,0)),IF($AT16,IF($AK17&gt;$AK18,-0.5,IF($AK17&lt;$AK18,0.5,0)),0)))</f>
        <v>0</v>
      </c>
      <c r="BE17" s="35">
        <f>IF($AY16,IF(E18-G18&lt;0,-0.5,IF(G18-E18&lt;0,0.5,0)),IF($AR16,IF($AI17&gt;$AI19,-0.5,IF($AI17&lt;$AI19,0.5,0)),IF($AT16,IF($AK17&gt;$AK19,-0.5,IF($AK17&lt;$AK19,0.5,0)),0)))</f>
        <v>0</v>
      </c>
      <c r="BF17" s="8"/>
      <c r="BG17" s="8"/>
      <c r="BH17" s="8"/>
    </row>
    <row r="18" spans="2:60">
      <c r="B18" s="180">
        <v>46191.541666666657</v>
      </c>
      <c r="C18" s="182" t="s">
        <v>85</v>
      </c>
      <c r="D18" s="17" t="str">
        <f>+Instructions!F22</f>
        <v>Switzerland (SUI)</v>
      </c>
      <c r="E18" s="151">
        <v>1</v>
      </c>
      <c r="F18" s="75" t="str">
        <f>+Instructions!F20</f>
        <v>Bosnia and Herzegovina (BIH)</v>
      </c>
      <c r="G18" s="151">
        <v>0</v>
      </c>
      <c r="H18" s="15"/>
      <c r="I18" s="8"/>
      <c r="J18" s="41">
        <f>Q18</f>
        <v>3</v>
      </c>
      <c r="K18" s="76" t="str">
        <f t="array" ref="K18">INDEX(U16:U19,MATCH(S18,$T16:$T19,0))</f>
        <v>BIH</v>
      </c>
      <c r="L18" s="54">
        <f t="array" ref="L18">INDEX(V16:V19,MATCH(S18,$T16:$T19,0))</f>
        <v>3</v>
      </c>
      <c r="M18" s="53">
        <f t="array" ref="M18">INDEX(W16:W19,MATCH(S18,$T16:$T19,0))</f>
        <v>1</v>
      </c>
      <c r="N18" s="54">
        <f t="array" ref="N18">INDEX(X16:X19,MATCH(S18,$T16:$T19,0))</f>
        <v>2</v>
      </c>
      <c r="O18" s="52">
        <f t="array" ref="O18">INDEX(Y16:Y19,MATCH(S18,$T16:$T19,0))</f>
        <v>-1</v>
      </c>
      <c r="P18" s="8"/>
      <c r="Q18" s="30">
        <f>IF(ROUND(S18,0)=ROUND(S17,0),Q17,3)</f>
        <v>3</v>
      </c>
      <c r="R18" s="30">
        <f>ROUND(S18,0)</f>
        <v>3</v>
      </c>
      <c r="S18" s="31">
        <f>+SMALL(T16:T19,3)</f>
        <v>2.96</v>
      </c>
      <c r="T18" s="46">
        <f>SUM(AL18:AO18)+2.47</f>
        <v>3.97</v>
      </c>
      <c r="U18" s="33" t="str">
        <f>+Instructions!E21</f>
        <v>QAT</v>
      </c>
      <c r="V18" s="10">
        <f>SUM(Z18:AC18)</f>
        <v>0</v>
      </c>
      <c r="W18" s="34">
        <f>E16+G17+G20</f>
        <v>0</v>
      </c>
      <c r="X18" s="10">
        <f>G16+E17+E20</f>
        <v>4</v>
      </c>
      <c r="Y18" s="35">
        <f>W18-X18</f>
        <v>-4</v>
      </c>
      <c r="Z18" s="10">
        <f>IF(ISBLANK(G17),0,IF(AB16=3,0,IF(AB16=1,1,3)))</f>
        <v>0</v>
      </c>
      <c r="AA18" s="10">
        <f>IF(ISBLANK(G20),0,IF(G20&gt;E20,3,IF(G20=E20,1,0)))</f>
        <v>0</v>
      </c>
      <c r="AB18" s="10" t="s">
        <v>78</v>
      </c>
      <c r="AC18" s="10">
        <f>IF(ISBLANK(E16),0,IF(E16&gt;G16,3,IF(E16=G16,1,0)))</f>
        <v>0</v>
      </c>
      <c r="AD18" s="34" t="b">
        <f>10*(Y16-Y18)+W16-W18&lt;0</f>
        <v>0</v>
      </c>
      <c r="AE18" s="10" t="b">
        <f>10*(Y17-Y18)+W17-W18&lt;0</f>
        <v>0</v>
      </c>
      <c r="AF18" s="10" t="s">
        <v>78</v>
      </c>
      <c r="AG18" s="35" t="b">
        <f>10*(Y18-Y19)+W18-W19&gt;0</f>
        <v>0</v>
      </c>
      <c r="AH18" s="34">
        <f>10000*(Z18+AA18)+(G17-E17+G20-E20)*100+(G17+G20)</f>
        <v>-200</v>
      </c>
      <c r="AI18" s="10" t="s">
        <v>78</v>
      </c>
      <c r="AJ18" s="10">
        <f>10000*(Z18+AC18)+(E16-G16+G17-E17)*100+(E16+G17)</f>
        <v>-300</v>
      </c>
      <c r="AK18" s="35">
        <f>10000*(AA18+AC18)+(E16-G16+G20-E20)*100+(E16+G20)</f>
        <v>-300</v>
      </c>
      <c r="AL18" s="47">
        <f>-AN16</f>
        <v>0.5</v>
      </c>
      <c r="AM18" s="36">
        <f>-AN17</f>
        <v>0.5</v>
      </c>
      <c r="AN18" s="36" t="s">
        <v>78</v>
      </c>
      <c r="AO18" s="37">
        <f>IF($V18&gt;$V19,-0.5,IF($V19&gt;$V18,0.5,IF(AG18,-0.5,IF(AF19,0.5,BE18))))</f>
        <v>0.5</v>
      </c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34"/>
      <c r="BC18" s="10"/>
      <c r="BD18" s="10" t="s">
        <v>78</v>
      </c>
      <c r="BE18" s="35">
        <f>IF($AZ16,IF(G16-E16&lt;0,-0.5,IF(E16-G16&lt;0,0.5,0)),IF($AS16,IF($AJ18&gt;$AJ19,-0.5,IF($AJ18&lt;$AJ19,0.5,0)),IF($AT16,IF($AK18&gt;$AK19,-0.5,IF($AK18&lt;$AK19,0.5,0)),0)))</f>
        <v>0</v>
      </c>
      <c r="BF18" s="8"/>
      <c r="BG18" s="8"/>
      <c r="BH18" s="8"/>
    </row>
    <row r="19" spans="2:60">
      <c r="B19" s="180">
        <v>46197.541666666657</v>
      </c>
      <c r="C19" s="182" t="s">
        <v>84</v>
      </c>
      <c r="D19" s="17" t="str">
        <f>+Instructions!F22</f>
        <v>Switzerland (SUI)</v>
      </c>
      <c r="E19" s="151">
        <v>1</v>
      </c>
      <c r="F19" s="72" t="str">
        <f>+Instructions!F19</f>
        <v>Canada (CAN)</v>
      </c>
      <c r="G19" s="151">
        <v>0</v>
      </c>
      <c r="H19" s="15"/>
      <c r="I19" s="8"/>
      <c r="J19" s="55">
        <f>Q19</f>
        <v>4</v>
      </c>
      <c r="K19" s="56" t="str">
        <f t="array" ref="K19">INDEX(U16:U19,MATCH(S19,$T16:$T19,0))</f>
        <v>QAT</v>
      </c>
      <c r="L19" s="57">
        <f t="array" ref="L19">INDEX(V16:V19,MATCH(S19,$T16:$T19,0))</f>
        <v>0</v>
      </c>
      <c r="M19" s="58">
        <f t="array" ref="M19">INDEX(W16:W19,MATCH(S19,$T16:$T19,0))</f>
        <v>0</v>
      </c>
      <c r="N19" s="57">
        <f t="array" ref="N19">INDEX(X16:X19,MATCH(S19,$T16:$T19,0))</f>
        <v>4</v>
      </c>
      <c r="O19" s="59">
        <f t="array" ref="O19">INDEX(Y16:Y19,MATCH(S19,$T16:$T19,0))</f>
        <v>-4</v>
      </c>
      <c r="P19" s="8"/>
      <c r="Q19" s="30">
        <f>IF(ROUND(S19,0)=ROUND(S18,0),Q18,4)</f>
        <v>4</v>
      </c>
      <c r="R19" s="30">
        <f>ROUND(S19,0)</f>
        <v>4</v>
      </c>
      <c r="S19" s="31">
        <f>+SMALL(T16:T19,4)</f>
        <v>3.97</v>
      </c>
      <c r="T19" s="60">
        <f>SUM(AL19:AO19)+2.48</f>
        <v>0.98</v>
      </c>
      <c r="U19" s="61" t="str">
        <f>+Instructions!E22</f>
        <v>SUI</v>
      </c>
      <c r="V19" s="38">
        <f>SUM(Z19:AC19)</f>
        <v>9</v>
      </c>
      <c r="W19" s="62">
        <f>G16+E18+E19</f>
        <v>4</v>
      </c>
      <c r="X19" s="38">
        <f>E16+G18+G19</f>
        <v>0</v>
      </c>
      <c r="Y19" s="63">
        <f>W19-X19</f>
        <v>4</v>
      </c>
      <c r="Z19" s="38">
        <f>IF(ISBLANK(E19),0,IF(AC16=3,0,IF(AC16=1,1,3)))</f>
        <v>3</v>
      </c>
      <c r="AA19" s="38">
        <f>IF(ISBLANK(E18),0,IF(AC17=3,0,IF(AC17=1,1,3)))</f>
        <v>3</v>
      </c>
      <c r="AB19" s="38">
        <f>IF(ISBLANK(G16),0,IF(AC18=3,0,IF(AC18=1,1,3)))</f>
        <v>3</v>
      </c>
      <c r="AC19" s="38" t="s">
        <v>78</v>
      </c>
      <c r="AD19" s="62" t="b">
        <f>10*(Y16-Y19)+W16-W19&lt;0</f>
        <v>1</v>
      </c>
      <c r="AE19" s="38" t="b">
        <f>10*(Y17-Y19)+W17-W19&lt;0</f>
        <v>1</v>
      </c>
      <c r="AF19" s="38" t="b">
        <f>10*(Y18-Y19)+W18-W19&lt;0</f>
        <v>1</v>
      </c>
      <c r="AG19" s="63" t="s">
        <v>78</v>
      </c>
      <c r="AH19" s="62" t="s">
        <v>78</v>
      </c>
      <c r="AI19" s="38">
        <f>10000*(Z19+AA19)+(E18-G18+E19-G19)*100+(E18+E19)</f>
        <v>60202</v>
      </c>
      <c r="AJ19" s="38">
        <f>10000*(Z19+AB19)+(E19-G19+G16-E16)*100+(E19+G16)</f>
        <v>60303</v>
      </c>
      <c r="AK19" s="63">
        <f>10000*(AA19+AB19)+(E18-G18+G16-E16)*100+(E18+G16)</f>
        <v>60303</v>
      </c>
      <c r="AL19" s="64">
        <f>-AO16</f>
        <v>-0.5</v>
      </c>
      <c r="AM19" s="65">
        <f>-AO17</f>
        <v>-0.5</v>
      </c>
      <c r="AN19" s="65">
        <f>-AO18</f>
        <v>-0.5</v>
      </c>
      <c r="AO19" s="63" t="s">
        <v>78</v>
      </c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62"/>
      <c r="BC19" s="38"/>
      <c r="BD19" s="38"/>
      <c r="BE19" s="63" t="s">
        <v>78</v>
      </c>
      <c r="BF19" s="8"/>
      <c r="BG19" s="8"/>
      <c r="BH19" s="8"/>
    </row>
    <row r="20" spans="2:60">
      <c r="B20" s="183">
        <v>46197.541666666657</v>
      </c>
      <c r="C20" s="184" t="s">
        <v>86</v>
      </c>
      <c r="D20" s="77" t="str">
        <f>+Instructions!F20</f>
        <v>Bosnia and Herzegovina (BIH)</v>
      </c>
      <c r="E20" s="151">
        <v>1</v>
      </c>
      <c r="F20" s="78" t="str">
        <f>+Instructions!F21</f>
        <v>Qatar (QAT)</v>
      </c>
      <c r="G20" s="151">
        <v>0</v>
      </c>
      <c r="H20" s="15"/>
      <c r="I20" s="8"/>
      <c r="J20" s="10"/>
      <c r="K20" s="70" t="str">
        <f>IF(ISBLANK(G20)," ",+IF(OR(J18&lt;3,J17&lt;2),"TIE BREAK! Pick your qualifiers on the Knock-Out Predictions sheet"," "))</f>
        <v xml:space="preserve"> 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</row>
    <row r="21" spans="2:60">
      <c r="B21" s="79"/>
      <c r="C21" s="80"/>
      <c r="D21" s="81"/>
      <c r="E21" s="13"/>
      <c r="F21" s="82"/>
      <c r="G21" s="13"/>
      <c r="H21" s="15"/>
      <c r="I21" s="8"/>
      <c r="J21" s="10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</row>
    <row r="22" spans="2:60">
      <c r="B22" s="231" t="s">
        <v>87</v>
      </c>
      <c r="C22" s="232"/>
      <c r="D22" s="232"/>
      <c r="E22" s="232"/>
      <c r="F22" s="232"/>
      <c r="G22" s="233"/>
      <c r="H22" s="15"/>
      <c r="I22" s="8"/>
      <c r="J22" s="1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</row>
    <row r="23" spans="2:60" ht="17">
      <c r="B23" s="180">
        <v>46186.666666666657</v>
      </c>
      <c r="C23" s="181" t="s">
        <v>88</v>
      </c>
      <c r="D23" s="17" t="str">
        <f>+Instructions!F25</f>
        <v>Brazil (BRA)</v>
      </c>
      <c r="E23" s="150">
        <v>1</v>
      </c>
      <c r="F23" s="83" t="str">
        <f>+Instructions!F26</f>
        <v>Morocco (MAR)</v>
      </c>
      <c r="G23" s="150">
        <v>0</v>
      </c>
      <c r="H23" s="15"/>
      <c r="I23" s="8"/>
      <c r="J23" s="10"/>
      <c r="K23" s="178" t="s">
        <v>87</v>
      </c>
      <c r="L23" s="179" t="s">
        <v>42</v>
      </c>
      <c r="M23" s="206" t="s">
        <v>43</v>
      </c>
      <c r="N23" s="207" t="s">
        <v>368</v>
      </c>
      <c r="O23" s="207" t="s">
        <v>369</v>
      </c>
      <c r="P23" s="8"/>
      <c r="Q23" s="8"/>
      <c r="R23" s="8"/>
      <c r="S23" s="8"/>
      <c r="T23" s="19" t="s">
        <v>46</v>
      </c>
      <c r="U23" s="20" t="s">
        <v>47</v>
      </c>
      <c r="V23" s="21" t="s">
        <v>42</v>
      </c>
      <c r="W23" s="19" t="s">
        <v>43</v>
      </c>
      <c r="X23" s="21" t="s">
        <v>44</v>
      </c>
      <c r="Y23" s="22" t="s">
        <v>48</v>
      </c>
      <c r="Z23" s="21" t="s">
        <v>49</v>
      </c>
      <c r="AA23" s="21" t="s">
        <v>50</v>
      </c>
      <c r="AB23" s="21" t="s">
        <v>51</v>
      </c>
      <c r="AC23" s="21" t="s">
        <v>52</v>
      </c>
      <c r="AD23" s="19" t="s">
        <v>53</v>
      </c>
      <c r="AE23" s="21" t="s">
        <v>54</v>
      </c>
      <c r="AF23" s="21" t="s">
        <v>55</v>
      </c>
      <c r="AG23" s="22" t="s">
        <v>56</v>
      </c>
      <c r="AH23" s="19" t="s">
        <v>57</v>
      </c>
      <c r="AI23" s="21" t="s">
        <v>58</v>
      </c>
      <c r="AJ23" s="21" t="s">
        <v>59</v>
      </c>
      <c r="AK23" s="22" t="s">
        <v>60</v>
      </c>
      <c r="AL23" s="19" t="s">
        <v>61</v>
      </c>
      <c r="AM23" s="21" t="s">
        <v>62</v>
      </c>
      <c r="AN23" s="21" t="s">
        <v>63</v>
      </c>
      <c r="AO23" s="22" t="s">
        <v>64</v>
      </c>
      <c r="AP23" s="19" t="s">
        <v>65</v>
      </c>
      <c r="AQ23" s="21" t="s">
        <v>57</v>
      </c>
      <c r="AR23" s="21" t="s">
        <v>58</v>
      </c>
      <c r="AS23" s="21" t="s">
        <v>59</v>
      </c>
      <c r="AT23" s="21" t="s">
        <v>60</v>
      </c>
      <c r="AU23" s="21" t="s">
        <v>66</v>
      </c>
      <c r="AV23" s="21" t="s">
        <v>67</v>
      </c>
      <c r="AW23" s="21" t="s">
        <v>68</v>
      </c>
      <c r="AX23" s="21" t="s">
        <v>69</v>
      </c>
      <c r="AY23" s="21" t="s">
        <v>70</v>
      </c>
      <c r="AZ23" s="21" t="s">
        <v>71</v>
      </c>
      <c r="BA23" s="22" t="s">
        <v>72</v>
      </c>
      <c r="BB23" s="19" t="s">
        <v>73</v>
      </c>
      <c r="BC23" s="21" t="s">
        <v>74</v>
      </c>
      <c r="BD23" s="21" t="s">
        <v>75</v>
      </c>
      <c r="BE23" s="22" t="s">
        <v>76</v>
      </c>
      <c r="BF23" s="8"/>
      <c r="BG23" s="8"/>
      <c r="BH23" s="8"/>
    </row>
    <row r="24" spans="2:60">
      <c r="B24" s="180">
        <v>46186.791666666657</v>
      </c>
      <c r="C24" s="182" t="s">
        <v>89</v>
      </c>
      <c r="D24" s="17" t="str">
        <f>+Instructions!F27</f>
        <v>Haiti (HAI)</v>
      </c>
      <c r="E24" s="151">
        <v>0</v>
      </c>
      <c r="F24" s="72" t="str">
        <f>+Instructions!F28</f>
        <v>Scotland (SCO)</v>
      </c>
      <c r="G24" s="151">
        <v>2</v>
      </c>
      <c r="H24" s="15"/>
      <c r="I24" s="8"/>
      <c r="J24" s="25">
        <f>Q24</f>
        <v>1</v>
      </c>
      <c r="K24" s="73" t="str">
        <f t="array" ref="K24">INDEX(U24:U27,MATCH(S24,$T24:$T27,0))</f>
        <v>BRA</v>
      </c>
      <c r="L24" s="27">
        <f t="array" ref="L24">INDEX(V24:V27,MATCH(S24,$T24:$T27,0))</f>
        <v>9</v>
      </c>
      <c r="M24" s="28">
        <f t="array" ref="M24">INDEX(W24:W27,MATCH(S24,$T24:$T27,0))</f>
        <v>7</v>
      </c>
      <c r="N24" s="27">
        <f t="array" ref="N24">INDEX(X24:X27,MATCH(S24,$T24:$T27,0))</f>
        <v>0</v>
      </c>
      <c r="O24" s="29">
        <f t="array" ref="O24">INDEX(Y24:Y27,MATCH(S24,$T24:$T27,0))</f>
        <v>7</v>
      </c>
      <c r="P24" s="8"/>
      <c r="Q24" s="30">
        <v>1</v>
      </c>
      <c r="R24" s="30">
        <f>ROUND(S24,0)</f>
        <v>1</v>
      </c>
      <c r="S24" s="31">
        <f>+SMALL(T24:T27,1)</f>
        <v>0.95000000000000018</v>
      </c>
      <c r="T24" s="32">
        <f>SUM(AL24:AO24)+2.45</f>
        <v>0.95000000000000018</v>
      </c>
      <c r="U24" s="33" t="str">
        <f>+Instructions!E25</f>
        <v>BRA</v>
      </c>
      <c r="V24" s="10">
        <f>SUM(Z24:AC24)</f>
        <v>9</v>
      </c>
      <c r="W24" s="34">
        <f>E23+E25+G27</f>
        <v>7</v>
      </c>
      <c r="X24" s="10">
        <f>G23+G25+E27</f>
        <v>0</v>
      </c>
      <c r="Y24" s="35">
        <f>W24-X24</f>
        <v>7</v>
      </c>
      <c r="Z24" s="10" t="s">
        <v>78</v>
      </c>
      <c r="AA24" s="10">
        <f>IF(ISBLANK(E23),0,IF(E23&gt;G23,3,IF(E23=G23,1,0)))</f>
        <v>3</v>
      </c>
      <c r="AB24" s="10">
        <f>IF(ISBLANK(E25),0,IF(E25&gt;G25,3,IF(E25=G25,1,0)))</f>
        <v>3</v>
      </c>
      <c r="AC24" s="10">
        <f>IF(ISBLANK(G27),0,IF(G27&gt;E27,3,IF(G27=E27,1,0)))</f>
        <v>3</v>
      </c>
      <c r="AD24" s="34" t="s">
        <v>78</v>
      </c>
      <c r="AE24" s="10" t="b">
        <f>(10*(Y24-Y25)+W24-W25&gt;0)</f>
        <v>1</v>
      </c>
      <c r="AF24" s="10" t="b">
        <f>10*(Y24-Y26)+W24-W26&gt;0</f>
        <v>1</v>
      </c>
      <c r="AG24" s="35" t="b">
        <f>10*(Y24-Y27)+W24-W27&gt;0</f>
        <v>1</v>
      </c>
      <c r="AH24" s="34">
        <f>10000*(AA24+AB24)+(E25-G25+E23-G23)*100+(E25+E23)</f>
        <v>60606</v>
      </c>
      <c r="AI24" s="10">
        <f>10000*(AA24+AC24)+(E23-G23+G27-E27)*100+(E23+G27)</f>
        <v>60202</v>
      </c>
      <c r="AJ24" s="10">
        <f>10000*(AB24+AC24)+(G27-E27+E25-G25)*100+(G27+E25)</f>
        <v>60606</v>
      </c>
      <c r="AK24" s="35" t="s">
        <v>78</v>
      </c>
      <c r="AL24" s="34" t="s">
        <v>78</v>
      </c>
      <c r="AM24" s="36">
        <f>IF($V24&gt;$V25,-0.5,IF($V25&gt;$V24,0.5,IF(AE24,-0.5,IF(AD25,0.5,BC24))))</f>
        <v>-0.5</v>
      </c>
      <c r="AN24" s="36">
        <f>IF($V24&gt;$V26,-0.5,IF($V26&gt;$V24,0.5,IF(AF24,-0.5,IF(AD26,0.5,BD24))))</f>
        <v>-0.5</v>
      </c>
      <c r="AO24" s="37">
        <f>IF($V24&gt;$V27,-0.5,IF($V27&gt;$V24,0.5,IF(AG24,-0.5,IF(AD27,0.5,BE24))))</f>
        <v>-0.5</v>
      </c>
      <c r="AP24" s="38" t="b">
        <f>AND(AND(V24=V25,V25=V26,V26=V27),AND(W24=W25,W25=W26,W26=W27),AND(X24=X25,X25=X26,X26=X27))</f>
        <v>0</v>
      </c>
      <c r="AQ24" s="38" t="b">
        <f>AND(NOT(AP24),V24=V25,V24=V26,W24=W25,W24=W26,X24=X25,X24=X26)</f>
        <v>0</v>
      </c>
      <c r="AR24" s="38" t="b">
        <f>AND(NOT(AP24),V24=V25,V24=V27,W24=W25,W24=W27,X24=X25,X24=X27)</f>
        <v>0</v>
      </c>
      <c r="AS24" s="38" t="b">
        <f>AND(NOT(AP24),V24=V26,V24=V27,W24=W26,W24=W27,X24=X26,X24=X27)</f>
        <v>0</v>
      </c>
      <c r="AT24" s="38" t="b">
        <f>AND(NOT(AP24),V25=V26,V25=V27,W25=W26,W25=W27,X25=X26,X25=X27)</f>
        <v>0</v>
      </c>
      <c r="AU24" s="38" t="b">
        <f>AND(NOT(AP24),NOT(AQ24),NOT(AR24),V24=V25,W24=W25,X24=X25)</f>
        <v>0</v>
      </c>
      <c r="AV24" s="38" t="b">
        <f>AND(NOT(AP24),NOT(AQ24),NOT(AS24),V24=V26,W24=W26,X24=X26)</f>
        <v>0</v>
      </c>
      <c r="AW24" s="38" t="b">
        <f>AND(NOT(AP24),NOT(AR24),NOT(AS24),V24=V27,W24=W27,X24=X27)</f>
        <v>0</v>
      </c>
      <c r="AX24" s="38" t="b">
        <f>AND(NOT(AP24),NOT(AQ24),NOT(AT24),V25=V26,W25=W26)</f>
        <v>0</v>
      </c>
      <c r="AY24" s="38" t="b">
        <f>AND(NOT(AP24),NOT(AR24),NOT(AT24),V25=V27,W25=W27,X25=X27)</f>
        <v>0</v>
      </c>
      <c r="AZ24" s="38" t="b">
        <f>AND(NOT(AP24),NOT(AS24),NOT(AT24),V26=V27,W26=W27,X26=X27)</f>
        <v>0</v>
      </c>
      <c r="BA24" s="38" t="b">
        <f t="array" ref="BA24">AND(NOT(AP24:AZ24))</f>
        <v>1</v>
      </c>
      <c r="BB24" s="34" t="s">
        <v>78</v>
      </c>
      <c r="BC24" s="10">
        <f>IF($AU24,IF(G23-E23&lt;0,-0.5,IF(E23-G23&lt;0,0.5,0)),IF($AQ24,IF($AH24&gt;$AH25,-0.5,IF($AH24&lt;$AH25,0.5,0)),IF($AR24,IF($AI24&gt;$AI25,-0.5, IF($AI24&lt;$AI25,0.5,0)),0)))</f>
        <v>0</v>
      </c>
      <c r="BD24" s="10">
        <f>IF($AV24,IF(G25-E25&lt;0,-0.5,IF(E25-G25&lt;0,0.5,0)),IF($AQ24,IF($AH24&gt;$AH26,-0.5,IF($AH24&lt;$AH26,0.5,0)),IF($AS24,IF($AJ24&gt;$AJ26,-0.5,IF($AJ24&lt;$AJ26,0.5,0)),0)))</f>
        <v>0</v>
      </c>
      <c r="BE24" s="35">
        <f>IF($AW24,IF(E27-G27&lt;0,-0.5,IF(G27-E27&lt;0,0.5,0)),IF($AR24,IF($AI24&gt;$AI27,-0.5,IF($AI24&lt;$AI27,0.5,0)),IF($AS24,IF($AJ24&gt;$AJ27,-0.5, IF($AJ24&lt;$AJ27,0.5,0)),0)))</f>
        <v>0</v>
      </c>
      <c r="BF24" s="8"/>
      <c r="BG24" s="8"/>
      <c r="BH24" s="8"/>
    </row>
    <row r="25" spans="2:60">
      <c r="B25" s="180">
        <v>46192.770833333343</v>
      </c>
      <c r="C25" s="182" t="s">
        <v>90</v>
      </c>
      <c r="D25" s="17" t="str">
        <f>+Instructions!F25</f>
        <v>Brazil (BRA)</v>
      </c>
      <c r="E25" s="151">
        <v>5</v>
      </c>
      <c r="F25" s="72" t="str">
        <f>+Instructions!F27</f>
        <v>Haiti (HAI)</v>
      </c>
      <c r="G25" s="151">
        <v>0</v>
      </c>
      <c r="H25" s="15"/>
      <c r="I25" s="8"/>
      <c r="J25" s="41">
        <f>Q25</f>
        <v>2</v>
      </c>
      <c r="K25" s="74" t="str">
        <f t="array" ref="K25">INDEX(U24:U27,MATCH(S25,$T24:$T27,0))</f>
        <v>MAR</v>
      </c>
      <c r="L25" s="43">
        <f t="array" ref="L25">INDEX(V24:V27,MATCH(S25,$T24:$T27,0))</f>
        <v>6</v>
      </c>
      <c r="M25" s="44">
        <f t="array" ref="M25">INDEX(W24:W27,MATCH(S25,$T24:$T27,0))</f>
        <v>4</v>
      </c>
      <c r="N25" s="43">
        <f t="array" ref="N25">INDEX(X24:X27,MATCH(S25,$T24:$T27,0))</f>
        <v>1</v>
      </c>
      <c r="O25" s="45">
        <f t="array" ref="O25">INDEX(Y24:Y27,MATCH(S25,$T24:$T27,0))</f>
        <v>3</v>
      </c>
      <c r="P25" s="8"/>
      <c r="Q25" s="30">
        <f>IF(ROUND(S25,0)=ROUND(S24,0),Q24,2)</f>
        <v>2</v>
      </c>
      <c r="R25" s="30">
        <f>ROUND(S25,0)</f>
        <v>2</v>
      </c>
      <c r="S25" s="31">
        <f>+SMALL(T24:T27,2)</f>
        <v>1.96</v>
      </c>
      <c r="T25" s="46">
        <f>SUM(AL25:AO25)+2.46</f>
        <v>1.96</v>
      </c>
      <c r="U25" s="33" t="str">
        <f>+Instructions!E26</f>
        <v>MAR</v>
      </c>
      <c r="V25" s="10">
        <f>SUM(Z25:AC25)</f>
        <v>6</v>
      </c>
      <c r="W25" s="34">
        <f>G23+G26+E28</f>
        <v>4</v>
      </c>
      <c r="X25" s="10">
        <f>E23+E26+G28</f>
        <v>1</v>
      </c>
      <c r="Y25" s="35">
        <f>W25-X25</f>
        <v>3</v>
      </c>
      <c r="Z25" s="10">
        <f>IF(ISBLANK(G23),0,IF(AA24=3,0,IF(AA24=1,1,3)))</f>
        <v>0</v>
      </c>
      <c r="AA25" s="10" t="s">
        <v>78</v>
      </c>
      <c r="AB25" s="10">
        <f>IF(ISBLANK(E28),0,IF(AA26=3,0,IF(AA26=1,1,3)))</f>
        <v>3</v>
      </c>
      <c r="AC25" s="10">
        <f>IF(ISBLANK(G26),0,IF(G26&gt;E26,3,IF(G26=E26,1,0)))</f>
        <v>3</v>
      </c>
      <c r="AD25" s="34" t="b">
        <f>(10*(Y24-Y25)+W24-W25&lt;0)</f>
        <v>0</v>
      </c>
      <c r="AE25" s="10" t="s">
        <v>78</v>
      </c>
      <c r="AF25" s="10" t="b">
        <f>10*(Y25-Y26)+W25-W26&gt;0</f>
        <v>1</v>
      </c>
      <c r="AG25" s="35" t="b">
        <f>10*(Y25-Y27)+W25-W27&gt;0</f>
        <v>1</v>
      </c>
      <c r="AH25" s="34">
        <f>10000*(Z25+AB25)+(G23-E23+E28-G28)*100+(G23+E28)</f>
        <v>30203</v>
      </c>
      <c r="AI25" s="10">
        <f>10000*(Z25+AC25)+(G23-E23+G26-E26)*100+(G23+G26)</f>
        <v>30001</v>
      </c>
      <c r="AJ25" s="10" t="s">
        <v>78</v>
      </c>
      <c r="AK25" s="35">
        <f>10000*(AB25+AC25)+(G26-E26+E28-G28)*100+(G26+E28)</f>
        <v>60404</v>
      </c>
      <c r="AL25" s="47">
        <f>-AM24</f>
        <v>0.5</v>
      </c>
      <c r="AM25" s="10" t="s">
        <v>78</v>
      </c>
      <c r="AN25" s="36">
        <f>IF($V25&gt;$V26,-0.5,IF($V26&gt;$V25,0.5,IF(AF25,-0.5,IF(AE26,0.5,BD25))))</f>
        <v>-0.5</v>
      </c>
      <c r="AO25" s="37">
        <f>IF($V25&gt;$V27,-0.5,IF($V27&gt;$V25,0.5,IF(AG25,-0.5,IF(AE27,0.5,BE25))))</f>
        <v>-0.5</v>
      </c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34"/>
      <c r="BC25" s="10" t="s">
        <v>78</v>
      </c>
      <c r="BD25" s="10">
        <f>IF($AX24,IF(G28-E28&lt;0,-0.5,IF(E28-G28&lt;0,0.5,0)),IF($AQ24,IF($AH25&gt;$AH26,-0.5,IF($AH25&lt;$AH26,0.5,0)),IF($AT24,IF($AK25&gt;$AK26,-0.5,IF($AK25&lt;$AK26,0.5,0)),0)))</f>
        <v>0</v>
      </c>
      <c r="BE25" s="35">
        <f>IF($AY24,IF(E26-G26&lt;0,-0.5,IF(G26-E26&lt;0,0.5,0)),IF($AR24,IF($AI25&gt;$AI27,-0.5,IF($AI25&lt;$AI27,0.5,0)),IF($AT24,IF($AK25&gt;$AK27,-0.5,IF($AK25&lt;$AK27,0.5,0)),0)))</f>
        <v>0</v>
      </c>
      <c r="BF25" s="8"/>
      <c r="BG25" s="8"/>
      <c r="BH25" s="8"/>
    </row>
    <row r="26" spans="2:60">
      <c r="B26" s="180">
        <v>46192.666666666657</v>
      </c>
      <c r="C26" s="182" t="s">
        <v>89</v>
      </c>
      <c r="D26" s="17" t="str">
        <f>+Instructions!F28</f>
        <v>Scotland (SCO)</v>
      </c>
      <c r="E26" s="151">
        <v>0</v>
      </c>
      <c r="F26" s="84" t="str">
        <f>+Instructions!F26</f>
        <v>Morocco (MAR)</v>
      </c>
      <c r="G26" s="151">
        <v>1</v>
      </c>
      <c r="H26" s="15"/>
      <c r="I26" s="8"/>
      <c r="J26" s="41">
        <f>Q26</f>
        <v>3</v>
      </c>
      <c r="K26" s="76" t="str">
        <f t="array" ref="K26">INDEX(U24:U27,MATCH(S26,$T24:$T27,0))</f>
        <v>SCO</v>
      </c>
      <c r="L26" s="54">
        <f t="array" ref="L26">INDEX(V24:V27,MATCH(S26,$T24:$T27,0))</f>
        <v>3</v>
      </c>
      <c r="M26" s="53">
        <f t="array" ref="M26">INDEX(W24:W27,MATCH(S26,$T24:$T27,0))</f>
        <v>2</v>
      </c>
      <c r="N26" s="54">
        <f t="array" ref="N26">INDEX(X24:X27,MATCH(S26,$T24:$T27,0))</f>
        <v>2</v>
      </c>
      <c r="O26" s="52">
        <f t="array" ref="O26">INDEX(Y24:Y27,MATCH(S26,$T24:$T27,0))</f>
        <v>0</v>
      </c>
      <c r="P26" s="8"/>
      <c r="Q26" s="30">
        <f>IF(ROUND(S26,0)=ROUND(S25,0),Q25,3)</f>
        <v>3</v>
      </c>
      <c r="R26" s="30">
        <f>ROUND(S26,0)</f>
        <v>3</v>
      </c>
      <c r="S26" s="31">
        <f>+SMALL(T24:T27,3)</f>
        <v>2.98</v>
      </c>
      <c r="T26" s="46">
        <f>SUM(AL26:AO26)+2.47</f>
        <v>3.97</v>
      </c>
      <c r="U26" s="33" t="str">
        <f>+Instructions!E27</f>
        <v>HAI</v>
      </c>
      <c r="V26" s="10">
        <f>SUM(Z26:AC26)</f>
        <v>0</v>
      </c>
      <c r="W26" s="34">
        <f>E24+G25+G28</f>
        <v>0</v>
      </c>
      <c r="X26" s="10">
        <f>G24+E25+E28</f>
        <v>10</v>
      </c>
      <c r="Y26" s="35">
        <f>W26-X26</f>
        <v>-10</v>
      </c>
      <c r="Z26" s="10">
        <f>IF(ISBLANK(G25),0,IF(AB24=3,0,IF(AB24=1,1,3)))</f>
        <v>0</v>
      </c>
      <c r="AA26" s="10">
        <f>IF(ISBLANK(G28),0,IF(G28&gt;E28,3,IF(G28=E28,1,0)))</f>
        <v>0</v>
      </c>
      <c r="AB26" s="10" t="s">
        <v>78</v>
      </c>
      <c r="AC26" s="10">
        <f>IF(ISBLANK(E24),0,IF(E24&gt;G24,3,IF(E24=G24,1,0)))</f>
        <v>0</v>
      </c>
      <c r="AD26" s="34" t="b">
        <f>10*(Y24-Y26)+W24-W26&lt;0</f>
        <v>0</v>
      </c>
      <c r="AE26" s="10" t="b">
        <f>10*(Y25-Y26)+W25-W26&lt;0</f>
        <v>0</v>
      </c>
      <c r="AF26" s="10" t="s">
        <v>78</v>
      </c>
      <c r="AG26" s="35" t="b">
        <f>10*(Y26-Y27)+W26-W27&gt;0</f>
        <v>0</v>
      </c>
      <c r="AH26" s="34">
        <f>10000*(Z26+AA26)+(G25-E25+G28-E28)*100+(G25+G28)</f>
        <v>-800</v>
      </c>
      <c r="AI26" s="10" t="s">
        <v>78</v>
      </c>
      <c r="AJ26" s="10">
        <f>10000*(Z26+AC26)+(E24-G24+G25-E25)*100+(E24+G25)</f>
        <v>-700</v>
      </c>
      <c r="AK26" s="35">
        <f>10000*(AA26+AC26)+(E24-G24+G28-E28)*100+(E24+G28)</f>
        <v>-500</v>
      </c>
      <c r="AL26" s="47">
        <f>-AN24</f>
        <v>0.5</v>
      </c>
      <c r="AM26" s="36">
        <f>-AN25</f>
        <v>0.5</v>
      </c>
      <c r="AN26" s="36" t="s">
        <v>78</v>
      </c>
      <c r="AO26" s="37">
        <f>IF($V26&gt;$V27,-0.5,IF($V27&gt;$V26,0.5,IF(AG26,-0.5,IF(AF27,0.5,BE26))))</f>
        <v>0.5</v>
      </c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34"/>
      <c r="BC26" s="10"/>
      <c r="BD26" s="10" t="s">
        <v>78</v>
      </c>
      <c r="BE26" s="35">
        <f>IF($AZ24,IF(G24-E24&lt;0,-0.5,IF(E24-G24&lt;0,0.5,0)),IF($AS24,IF($AJ26&gt;$AJ27,-0.5,IF($AJ26&lt;$AJ27,0.5,0)),IF($AT24,IF($AK26&gt;$AK27,-0.5,IF($AK26&lt;$AK27,0.5,0)),0)))</f>
        <v>0</v>
      </c>
      <c r="BF26" s="8"/>
      <c r="BG26" s="8"/>
      <c r="BH26" s="8"/>
    </row>
    <row r="27" spans="2:60">
      <c r="B27" s="180">
        <v>46197.666666666657</v>
      </c>
      <c r="C27" s="182" t="s">
        <v>91</v>
      </c>
      <c r="D27" s="17" t="str">
        <f>+Instructions!F28</f>
        <v>Scotland (SCO)</v>
      </c>
      <c r="E27" s="151">
        <v>0</v>
      </c>
      <c r="F27" s="72" t="str">
        <f>+Instructions!F25</f>
        <v>Brazil (BRA)</v>
      </c>
      <c r="G27" s="151">
        <v>1</v>
      </c>
      <c r="H27" s="15"/>
      <c r="I27" s="8"/>
      <c r="J27" s="55">
        <f>Q27</f>
        <v>4</v>
      </c>
      <c r="K27" s="56" t="str">
        <f t="array" ref="K27">INDEX(U24:U27,MATCH(S27,$T24:$T27,0))</f>
        <v>HAI</v>
      </c>
      <c r="L27" s="57">
        <f t="array" ref="L27">INDEX(V24:V27,MATCH(S27,$T24:$T27,0))</f>
        <v>0</v>
      </c>
      <c r="M27" s="58">
        <f t="array" ref="M27">INDEX(W24:W27,MATCH(S27,$T24:$T27,0))</f>
        <v>0</v>
      </c>
      <c r="N27" s="57">
        <f t="array" ref="N27">INDEX(X24:X27,MATCH(S27,$T24:$T27,0))</f>
        <v>10</v>
      </c>
      <c r="O27" s="59">
        <f t="array" ref="O27">INDEX(Y24:Y27,MATCH(S27,$T24:$T27,0))</f>
        <v>-10</v>
      </c>
      <c r="P27" s="8"/>
      <c r="Q27" s="30">
        <f>IF(ROUND(S27,0)=ROUND(S26,0),Q26,4)</f>
        <v>4</v>
      </c>
      <c r="R27" s="30">
        <f>ROUND(S27,0)</f>
        <v>4</v>
      </c>
      <c r="S27" s="31">
        <f>+SMALL(T24:T27,4)</f>
        <v>3.97</v>
      </c>
      <c r="T27" s="60">
        <f>SUM(AL27:AO27)+2.48</f>
        <v>2.98</v>
      </c>
      <c r="U27" s="61" t="str">
        <f>+Instructions!E28</f>
        <v>SCO</v>
      </c>
      <c r="V27" s="38">
        <f>SUM(Z27:AC27)</f>
        <v>3</v>
      </c>
      <c r="W27" s="62">
        <f>G24+E26+E27</f>
        <v>2</v>
      </c>
      <c r="X27" s="38">
        <f>E24+G26+G27</f>
        <v>2</v>
      </c>
      <c r="Y27" s="63">
        <f>W27-X27</f>
        <v>0</v>
      </c>
      <c r="Z27" s="38">
        <f>IF(ISBLANK(E27),0,IF(AC24=3,0,IF(AC24=1,1,3)))</f>
        <v>0</v>
      </c>
      <c r="AA27" s="38">
        <f>IF(ISBLANK(E26),0,IF(AC25=3,0,IF(AC25=1,1,3)))</f>
        <v>0</v>
      </c>
      <c r="AB27" s="38">
        <f>IF(ISBLANK(G24),0,IF(AC26=3,0,IF(AC26=1,1,3)))</f>
        <v>3</v>
      </c>
      <c r="AC27" s="38" t="s">
        <v>78</v>
      </c>
      <c r="AD27" s="62" t="b">
        <f>10*(Y24-Y27)+W24-W27&lt;0</f>
        <v>0</v>
      </c>
      <c r="AE27" s="38" t="b">
        <f>10*(Y25-Y27)+W25-W27&lt;0</f>
        <v>0</v>
      </c>
      <c r="AF27" s="38" t="b">
        <f>10*(Y26-Y27)+W26-W27&lt;0</f>
        <v>1</v>
      </c>
      <c r="AG27" s="63" t="s">
        <v>78</v>
      </c>
      <c r="AH27" s="62" t="s">
        <v>78</v>
      </c>
      <c r="AI27" s="38">
        <f>10000*(Z27+AA27)+(E26-G26+E27-G27)*100+(E26+E27)</f>
        <v>-200</v>
      </c>
      <c r="AJ27" s="38">
        <f>10000*(Z27+AB27)+(E27-G27+G24-E24)*100+(E27+G24)</f>
        <v>30102</v>
      </c>
      <c r="AK27" s="63">
        <f>10000*(AA27+AB27)+(E26-G26+G24-E24)*100+(E26+G24)</f>
        <v>30102</v>
      </c>
      <c r="AL27" s="64">
        <f>-AO24</f>
        <v>0.5</v>
      </c>
      <c r="AM27" s="65">
        <f>-AO25</f>
        <v>0.5</v>
      </c>
      <c r="AN27" s="65">
        <f>-AO26</f>
        <v>-0.5</v>
      </c>
      <c r="AO27" s="63" t="s">
        <v>78</v>
      </c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62"/>
      <c r="BC27" s="38"/>
      <c r="BD27" s="38"/>
      <c r="BE27" s="63" t="s">
        <v>78</v>
      </c>
      <c r="BF27" s="8"/>
      <c r="BG27" s="8"/>
      <c r="BH27" s="8"/>
    </row>
    <row r="28" spans="2:60">
      <c r="B28" s="183">
        <v>46197.666666666657</v>
      </c>
      <c r="C28" s="184" t="s">
        <v>79</v>
      </c>
      <c r="D28" s="68" t="str">
        <f>+Instructions!F26</f>
        <v>Morocco (MAR)</v>
      </c>
      <c r="E28" s="151">
        <v>3</v>
      </c>
      <c r="F28" s="78" t="str">
        <f>+Instructions!F27</f>
        <v>Haiti (HAI)</v>
      </c>
      <c r="G28" s="151">
        <v>0</v>
      </c>
      <c r="H28" s="15"/>
      <c r="I28" s="8"/>
      <c r="J28" s="10"/>
      <c r="K28" s="70" t="str">
        <f>IF(ISBLANK(G28)," ",+IF(OR(J26&lt;3,J25&lt;2),"TIE BREAK! Pick your qualifiers on the Knock-Out Predictions sheet"," "))</f>
        <v xml:space="preserve"> 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2:60">
      <c r="B29" s="79"/>
      <c r="C29" s="80"/>
      <c r="D29" s="81"/>
      <c r="E29" s="13"/>
      <c r="F29" s="82"/>
      <c r="G29" s="13"/>
      <c r="H29" s="15"/>
      <c r="I29" s="8"/>
      <c r="J29" s="10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2:60">
      <c r="B30" s="231" t="s">
        <v>92</v>
      </c>
      <c r="C30" s="232"/>
      <c r="D30" s="232"/>
      <c r="E30" s="232"/>
      <c r="F30" s="232"/>
      <c r="G30" s="233"/>
      <c r="H30" s="15"/>
      <c r="I30" s="8"/>
      <c r="J30" s="10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2:60" ht="17">
      <c r="B31" s="180">
        <v>46185.791666666657</v>
      </c>
      <c r="C31" s="181" t="s">
        <v>85</v>
      </c>
      <c r="D31" s="17" t="str">
        <f>+Instructions!F31</f>
        <v>USA</v>
      </c>
      <c r="E31" s="150">
        <v>1</v>
      </c>
      <c r="F31" s="83" t="str">
        <f>+Instructions!F32</f>
        <v>Paraguay (PAR)</v>
      </c>
      <c r="G31" s="150">
        <v>0</v>
      </c>
      <c r="H31" s="15"/>
      <c r="I31" s="8"/>
      <c r="J31" s="10"/>
      <c r="K31" s="178" t="s">
        <v>92</v>
      </c>
      <c r="L31" s="179" t="s">
        <v>42</v>
      </c>
      <c r="M31" s="206" t="s">
        <v>43</v>
      </c>
      <c r="N31" s="207" t="s">
        <v>368</v>
      </c>
      <c r="O31" s="207" t="s">
        <v>369</v>
      </c>
      <c r="P31" s="8"/>
      <c r="Q31" s="8"/>
      <c r="R31" s="8"/>
      <c r="S31" s="8"/>
      <c r="T31" s="19" t="s">
        <v>46</v>
      </c>
      <c r="U31" s="20" t="s">
        <v>47</v>
      </c>
      <c r="V31" s="21" t="s">
        <v>42</v>
      </c>
      <c r="W31" s="19" t="s">
        <v>43</v>
      </c>
      <c r="X31" s="21" t="s">
        <v>44</v>
      </c>
      <c r="Y31" s="22" t="s">
        <v>48</v>
      </c>
      <c r="Z31" s="21" t="s">
        <v>49</v>
      </c>
      <c r="AA31" s="21" t="s">
        <v>50</v>
      </c>
      <c r="AB31" s="21" t="s">
        <v>51</v>
      </c>
      <c r="AC31" s="21" t="s">
        <v>52</v>
      </c>
      <c r="AD31" s="19" t="s">
        <v>53</v>
      </c>
      <c r="AE31" s="21" t="s">
        <v>54</v>
      </c>
      <c r="AF31" s="21" t="s">
        <v>55</v>
      </c>
      <c r="AG31" s="22" t="s">
        <v>56</v>
      </c>
      <c r="AH31" s="19" t="s">
        <v>57</v>
      </c>
      <c r="AI31" s="21" t="s">
        <v>58</v>
      </c>
      <c r="AJ31" s="21" t="s">
        <v>59</v>
      </c>
      <c r="AK31" s="22" t="s">
        <v>60</v>
      </c>
      <c r="AL31" s="19" t="s">
        <v>61</v>
      </c>
      <c r="AM31" s="21" t="s">
        <v>62</v>
      </c>
      <c r="AN31" s="21" t="s">
        <v>63</v>
      </c>
      <c r="AO31" s="22" t="s">
        <v>64</v>
      </c>
      <c r="AP31" s="19" t="s">
        <v>65</v>
      </c>
      <c r="AQ31" s="21" t="s">
        <v>57</v>
      </c>
      <c r="AR31" s="21" t="s">
        <v>58</v>
      </c>
      <c r="AS31" s="21" t="s">
        <v>59</v>
      </c>
      <c r="AT31" s="21" t="s">
        <v>60</v>
      </c>
      <c r="AU31" s="21" t="s">
        <v>66</v>
      </c>
      <c r="AV31" s="21" t="s">
        <v>67</v>
      </c>
      <c r="AW31" s="21" t="s">
        <v>68</v>
      </c>
      <c r="AX31" s="21" t="s">
        <v>69</v>
      </c>
      <c r="AY31" s="21" t="s">
        <v>70</v>
      </c>
      <c r="AZ31" s="21" t="s">
        <v>71</v>
      </c>
      <c r="BA31" s="22" t="s">
        <v>72</v>
      </c>
      <c r="BB31" s="19" t="s">
        <v>73</v>
      </c>
      <c r="BC31" s="21" t="s">
        <v>74</v>
      </c>
      <c r="BD31" s="21" t="s">
        <v>75</v>
      </c>
      <c r="BE31" s="22" t="s">
        <v>76</v>
      </c>
      <c r="BF31" s="8"/>
      <c r="BG31" s="8"/>
      <c r="BH31" s="8"/>
    </row>
    <row r="32" spans="2:60">
      <c r="B32" s="180">
        <v>46186.916666666657</v>
      </c>
      <c r="C32" s="182" t="s">
        <v>84</v>
      </c>
      <c r="D32" s="17" t="str">
        <f>+Instructions!F33</f>
        <v>Australia (AUS)</v>
      </c>
      <c r="E32" s="151">
        <v>0</v>
      </c>
      <c r="F32" s="72" t="str">
        <f>+Instructions!F34</f>
        <v>Türkiye (TUR)</v>
      </c>
      <c r="G32" s="151">
        <v>1</v>
      </c>
      <c r="H32" s="15"/>
      <c r="I32" s="8"/>
      <c r="J32" s="25">
        <f>Q32</f>
        <v>1</v>
      </c>
      <c r="K32" s="73" t="str">
        <f t="array" ref="K32">INDEX(U32:U35,MATCH(S32,$T32:$T35,0))</f>
        <v>USA</v>
      </c>
      <c r="L32" s="27">
        <f t="array" ref="L32">INDEX(V32:V35,MATCH(S32,$T32:$T35,0))</f>
        <v>9</v>
      </c>
      <c r="M32" s="28">
        <f t="array" ref="M32">INDEX(W32:W35,MATCH(S32,$T32:$T35,0))</f>
        <v>3</v>
      </c>
      <c r="N32" s="27">
        <f t="array" ref="N32">INDEX(X32:X35,MATCH(S32,$T32:$T35,0))</f>
        <v>0</v>
      </c>
      <c r="O32" s="29">
        <f t="array" ref="O32">INDEX(Y32:Y35,MATCH(S32,$T32:$T35,0))</f>
        <v>3</v>
      </c>
      <c r="P32" s="8"/>
      <c r="Q32" s="30">
        <v>1</v>
      </c>
      <c r="R32" s="30">
        <f>ROUND(S32,0)</f>
        <v>1</v>
      </c>
      <c r="S32" s="31">
        <f>+SMALL(T32:T35,1)</f>
        <v>0.95000000000000018</v>
      </c>
      <c r="T32" s="32">
        <f>SUM(AL32:AO32)+2.45</f>
        <v>0.95000000000000018</v>
      </c>
      <c r="U32" s="33" t="str">
        <f>+Instructions!E31</f>
        <v>USA</v>
      </c>
      <c r="V32" s="10">
        <f>SUM(Z32:AC32)</f>
        <v>9</v>
      </c>
      <c r="W32" s="34">
        <f>E31+E33+G35</f>
        <v>3</v>
      </c>
      <c r="X32" s="10">
        <f>G31+G33+E35</f>
        <v>0</v>
      </c>
      <c r="Y32" s="35">
        <f>W32-X32</f>
        <v>3</v>
      </c>
      <c r="Z32" s="10" t="s">
        <v>78</v>
      </c>
      <c r="AA32" s="10">
        <f>IF(ISBLANK(E31),0,IF(E31&gt;G31,3,IF(E31=G31,1,0)))</f>
        <v>3</v>
      </c>
      <c r="AB32" s="10">
        <f>IF(ISBLANK(E33),0,IF(E33&gt;G33,3,IF(E33=G33,1,0)))</f>
        <v>3</v>
      </c>
      <c r="AC32" s="10">
        <f>IF(ISBLANK(G35),0,IF(G35&gt;E35,3,IF(G35=E35,1,0)))</f>
        <v>3</v>
      </c>
      <c r="AD32" s="34" t="s">
        <v>78</v>
      </c>
      <c r="AE32" s="10" t="b">
        <f>(10*(Y32-Y33)+W32-W33&gt;0)</f>
        <v>1</v>
      </c>
      <c r="AF32" s="10" t="b">
        <f>10*(Y32-Y34)+W32-W34&gt;0</f>
        <v>1</v>
      </c>
      <c r="AG32" s="35" t="b">
        <f>10*(Y32-Y35)+W32-W35&gt;0</f>
        <v>1</v>
      </c>
      <c r="AH32" s="34">
        <f>10000*(AA32+AB32)+(E33-G33+E31-G31)*100+(E33+E31)</f>
        <v>60202</v>
      </c>
      <c r="AI32" s="10">
        <f>10000*(AA32+AC32)+(E31-G31+G35-E35)*100+(E31+G35)</f>
        <v>60202</v>
      </c>
      <c r="AJ32" s="10">
        <f>10000*(AB32+AC32)+(G35-E35+E33-G33)*100+(G35+E33)</f>
        <v>60202</v>
      </c>
      <c r="AK32" s="35" t="s">
        <v>78</v>
      </c>
      <c r="AL32" s="34" t="s">
        <v>78</v>
      </c>
      <c r="AM32" s="36">
        <f>IF($V32&gt;$V33,-0.5,IF($V33&gt;$V32,0.5,IF(AE32,-0.5,IF(AD33,0.5,BC32))))</f>
        <v>-0.5</v>
      </c>
      <c r="AN32" s="36">
        <f>IF($V32&gt;$V34,-0.5,IF($V34&gt;$V32,0.5,IF(AF32,-0.5,IF(AD34,0.5,BD32))))</f>
        <v>-0.5</v>
      </c>
      <c r="AO32" s="37">
        <f>IF($V32&gt;$V35,-0.5,IF($V35&gt;$V32,0.5,IF(AG32,-0.5,IF(AD35,0.5,BE32))))</f>
        <v>-0.5</v>
      </c>
      <c r="AP32" s="38" t="b">
        <f>AND(AND(V32=V33,V33=V34,V34=V35),AND(W32=W33,W33=W34,W34=W35),AND(X32=X33,X33=X34,X34=X35))</f>
        <v>0</v>
      </c>
      <c r="AQ32" s="38" t="b">
        <f>AND(NOT(AP32),V32=V33,V32=V34,W32=W33,W32=W34,X32=X33,X32=X34)</f>
        <v>0</v>
      </c>
      <c r="AR32" s="38" t="b">
        <f>AND(NOT(AP32),V32=V33,V32=V35,W32=W33,W32=W35,X32=X33,X32=X35)</f>
        <v>0</v>
      </c>
      <c r="AS32" s="38" t="b">
        <f>AND(NOT(AP32),V32=V34,V32=V35,W32=W34,W32=W35,X32=X34,X32=X35)</f>
        <v>0</v>
      </c>
      <c r="AT32" s="38" t="b">
        <f>AND(NOT(AP32),V33=V34,V33=V35,W33=W34,W33=W35,X33=X34,X33=X35)</f>
        <v>0</v>
      </c>
      <c r="AU32" s="38" t="b">
        <f>AND(NOT(AP32),NOT(AQ32),NOT(AR32),V32=V33,W32=W33,X32=X33)</f>
        <v>0</v>
      </c>
      <c r="AV32" s="38" t="b">
        <f>AND(NOT(AP32),NOT(AQ32),NOT(AS32),V32=V34,W32=W34,X32=X34)</f>
        <v>0</v>
      </c>
      <c r="AW32" s="38" t="b">
        <f>AND(NOT(AP32),NOT(AR32),NOT(AS32),V32=V35,W32=W35,X32=X35)</f>
        <v>0</v>
      </c>
      <c r="AX32" s="38" t="b">
        <f>AND(NOT(AP32),NOT(AQ32),NOT(AT32),V33=V34,W33=W34)</f>
        <v>0</v>
      </c>
      <c r="AY32" s="38" t="b">
        <f>AND(NOT(AP32),NOT(AR32),NOT(AT32),V33=V35,W33=W35,X33=X35)</f>
        <v>0</v>
      </c>
      <c r="AZ32" s="38" t="b">
        <f>AND(NOT(AP32),NOT(AS32),NOT(AT32),V34=V35,W34=W35,X34=X35)</f>
        <v>0</v>
      </c>
      <c r="BA32" s="38" t="b">
        <f t="array" ref="BA32">AND(NOT(AP32:AZ32))</f>
        <v>1</v>
      </c>
      <c r="BB32" s="34" t="s">
        <v>78</v>
      </c>
      <c r="BC32" s="10">
        <f>IF($AU32,IF(G31-E31&lt;0,-0.5,IF(E31-G31&lt;0,0.5,0)),IF($AQ32,IF($AH32&gt;$AH33,-0.5,IF($AH32&lt;$AH33,0.5,0)),IF($AR32,IF($AI32&gt;$AI33,-0.5, IF($AI32&lt;$AI33,0.5,0)),0)))</f>
        <v>0</v>
      </c>
      <c r="BD32" s="10">
        <f>IF($AV32,IF(G33-E33&lt;0,-0.5,IF(E33-G33&lt;0,0.5,0)),IF($AQ32,IF($AH32&gt;$AH34,-0.5,IF($AH32&lt;$AH34,0.5,0)),IF($AS32,IF($AJ32&gt;$AJ34,-0.5,IF($AJ32&lt;$AJ34,0.5,0)),0)))</f>
        <v>0</v>
      </c>
      <c r="BE32" s="35">
        <f>IF($AW32,IF(E35-G35&lt;0,-0.5,IF(G35-E35&lt;0,0.5,0)),IF($AR32,IF($AI32&gt;$AI35,-0.5,IF($AI32&lt;$AI35,0.5,0)),IF($AS32,IF($AJ32&gt;$AJ35,-0.5, IF($AJ32&lt;$AJ35,0.5,0)),0)))</f>
        <v>0</v>
      </c>
      <c r="BF32" s="8"/>
      <c r="BG32" s="8"/>
      <c r="BH32" s="8"/>
    </row>
    <row r="33" spans="2:60">
      <c r="B33" s="180">
        <v>46192.541666666657</v>
      </c>
      <c r="C33" s="182" t="s">
        <v>86</v>
      </c>
      <c r="D33" s="17" t="str">
        <f>+Instructions!F31</f>
        <v>USA</v>
      </c>
      <c r="E33" s="151">
        <v>1</v>
      </c>
      <c r="F33" s="72" t="str">
        <f>+Instructions!F33</f>
        <v>Australia (AUS)</v>
      </c>
      <c r="G33" s="151">
        <v>0</v>
      </c>
      <c r="H33" s="15"/>
      <c r="I33" s="8"/>
      <c r="J33" s="41">
        <f>Q33</f>
        <v>2</v>
      </c>
      <c r="K33" s="74" t="str">
        <f t="array" ref="K33">INDEX(U32:U35,MATCH(S33,$T32:$T35,0))</f>
        <v>TUR</v>
      </c>
      <c r="L33" s="43">
        <f t="array" ref="L33">INDEX(V32:V35,MATCH(S33,$T32:$T35,0))</f>
        <v>4</v>
      </c>
      <c r="M33" s="44">
        <f t="array" ref="M33">INDEX(W32:W35,MATCH(S33,$T32:$T35,0))</f>
        <v>1</v>
      </c>
      <c r="N33" s="43">
        <f t="array" ref="N33">INDEX(X32:X35,MATCH(S33,$T32:$T35,0))</f>
        <v>1</v>
      </c>
      <c r="O33" s="45">
        <f t="array" ref="O33">INDEX(Y32:Y35,MATCH(S33,$T32:$T35,0))</f>
        <v>0</v>
      </c>
      <c r="P33" s="8"/>
      <c r="Q33" s="30">
        <f>IF(ROUND(S33,0)=ROUND(S32,0),Q32,2)</f>
        <v>2</v>
      </c>
      <c r="R33" s="30">
        <f>ROUND(S33,0)</f>
        <v>2</v>
      </c>
      <c r="S33" s="31">
        <f>+SMALL(T32:T35,2)</f>
        <v>1.98</v>
      </c>
      <c r="T33" s="46">
        <f>SUM(AL33:AO33)+2.46</f>
        <v>2.96</v>
      </c>
      <c r="U33" s="33" t="str">
        <f>+Instructions!E32</f>
        <v>PAR</v>
      </c>
      <c r="V33" s="10">
        <f>SUM(Z33:AC33)</f>
        <v>2</v>
      </c>
      <c r="W33" s="34">
        <f>G31+G34+E36</f>
        <v>0</v>
      </c>
      <c r="X33" s="10">
        <f>E31+E34+G36</f>
        <v>1</v>
      </c>
      <c r="Y33" s="35">
        <f>W33-X33</f>
        <v>-1</v>
      </c>
      <c r="Z33" s="10">
        <f>IF(ISBLANK(G31),0,IF(AA32=3,0,IF(AA32=1,1,3)))</f>
        <v>0</v>
      </c>
      <c r="AA33" s="10" t="s">
        <v>78</v>
      </c>
      <c r="AB33" s="10">
        <f>IF(ISBLANK(E36),0,IF(AA34=3,0,IF(AA34=1,1,3)))</f>
        <v>1</v>
      </c>
      <c r="AC33" s="10">
        <f>IF(ISBLANK(G34),0,IF(G34&gt;E34,3,IF(G34=E34,1,0)))</f>
        <v>1</v>
      </c>
      <c r="AD33" s="34" t="b">
        <f>(10*(Y32-Y33)+W32-W33&lt;0)</f>
        <v>0</v>
      </c>
      <c r="AE33" s="10" t="s">
        <v>78</v>
      </c>
      <c r="AF33" s="10" t="b">
        <f>10*(Y33-Y34)+W33-W34&gt;0</f>
        <v>1</v>
      </c>
      <c r="AG33" s="35" t="b">
        <f>10*(Y33-Y35)+W33-W35&gt;0</f>
        <v>0</v>
      </c>
      <c r="AH33" s="34">
        <f>10000*(Z33+AB33)+(G31-E31+E36-G36)*100+(G31+E36)</f>
        <v>9900</v>
      </c>
      <c r="AI33" s="10">
        <f>10000*(Z33+AC33)+(G31-E31+G34-E34)*100+(G31+G34)</f>
        <v>9900</v>
      </c>
      <c r="AJ33" s="10" t="s">
        <v>78</v>
      </c>
      <c r="AK33" s="35">
        <f>10000*(AB33+AC33)+(G34-E34+E36-G36)*100+(G34+E36)</f>
        <v>20000</v>
      </c>
      <c r="AL33" s="47">
        <f>-AM32</f>
        <v>0.5</v>
      </c>
      <c r="AM33" s="10" t="s">
        <v>78</v>
      </c>
      <c r="AN33" s="36">
        <f>IF($V33&gt;$V34,-0.5,IF($V34&gt;$V33,0.5,IF(AF33,-0.5,IF(AE34,0.5,BD33))))</f>
        <v>-0.5</v>
      </c>
      <c r="AO33" s="37">
        <f>IF($V33&gt;$V35,-0.5,IF($V35&gt;$V33,0.5,IF(AG33,-0.5,IF(AE35,0.5,BE33))))</f>
        <v>0.5</v>
      </c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34"/>
      <c r="BC33" s="10" t="s">
        <v>78</v>
      </c>
      <c r="BD33" s="10">
        <f>IF($AX32,IF(G36-E36&lt;0,-0.5,IF(E36-G36&lt;0,0.5,0)),IF($AQ32,IF($AH33&gt;$AH34,-0.5,IF($AH33&lt;$AH34,0.5,0)),IF($AT32,IF($AK33&gt;$AK34,-0.5,IF($AK33&lt;$AK34,0.5,0)),0)))</f>
        <v>0</v>
      </c>
      <c r="BE33" s="35">
        <f>IF($AY32,IF(E34-G34&lt;0,-0.5,IF(G34-E34&lt;0,0.5,0)),IF($AR32,IF($AI33&gt;$AI35,-0.5,IF($AI33&lt;$AI35,0.5,0)),IF($AT32,IF($AK33&gt;$AK35,-0.5,IF($AK33&lt;$AK35,0.5,0)),0)))</f>
        <v>0</v>
      </c>
      <c r="BF33" s="8"/>
      <c r="BG33" s="8"/>
      <c r="BH33" s="8"/>
    </row>
    <row r="34" spans="2:60">
      <c r="B34" s="180">
        <v>46192.875</v>
      </c>
      <c r="C34" s="182" t="s">
        <v>83</v>
      </c>
      <c r="D34" s="17" t="str">
        <f>+Instructions!F34</f>
        <v>Türkiye (TUR)</v>
      </c>
      <c r="E34" s="151">
        <v>0</v>
      </c>
      <c r="F34" s="84" t="str">
        <f>+Instructions!F32</f>
        <v>Paraguay (PAR)</v>
      </c>
      <c r="G34" s="151">
        <v>0</v>
      </c>
      <c r="H34" s="15"/>
      <c r="I34" s="8"/>
      <c r="J34" s="41">
        <f>Q34</f>
        <v>3</v>
      </c>
      <c r="K34" s="76" t="str">
        <f t="array" ref="K34">INDEX(U32:U35,MATCH(S34,$T32:$T35,0))</f>
        <v>PAR</v>
      </c>
      <c r="L34" s="54">
        <f t="array" ref="L34">INDEX(V32:V35,MATCH(S34,$T32:$T35,0))</f>
        <v>2</v>
      </c>
      <c r="M34" s="53">
        <f t="array" ref="M34">INDEX(W32:W35,MATCH(S34,$T32:$T35,0))</f>
        <v>0</v>
      </c>
      <c r="N34" s="54">
        <f t="array" ref="N34">INDEX(X32:X35,MATCH(S34,$T32:$T35,0))</f>
        <v>1</v>
      </c>
      <c r="O34" s="52">
        <f t="array" ref="O34">INDEX(Y32:Y35,MATCH(S34,$T32:$T35,0))</f>
        <v>-1</v>
      </c>
      <c r="P34" s="8"/>
      <c r="Q34" s="30">
        <f>IF(ROUND(S34,0)=ROUND(S33,0),Q33,3)</f>
        <v>3</v>
      </c>
      <c r="R34" s="30">
        <f>ROUND(S34,0)</f>
        <v>3</v>
      </c>
      <c r="S34" s="31">
        <f>+SMALL(T32:T35,3)</f>
        <v>2.96</v>
      </c>
      <c r="T34" s="46">
        <f>SUM(AL34:AO34)+2.47</f>
        <v>3.97</v>
      </c>
      <c r="U34" s="33" t="str">
        <f>+Instructions!E33</f>
        <v>AUS</v>
      </c>
      <c r="V34" s="10">
        <f>SUM(Z34:AC34)</f>
        <v>1</v>
      </c>
      <c r="W34" s="34">
        <f>E32+G33+G36</f>
        <v>0</v>
      </c>
      <c r="X34" s="10">
        <f>G32+E33+E36</f>
        <v>2</v>
      </c>
      <c r="Y34" s="35">
        <f>W34-X34</f>
        <v>-2</v>
      </c>
      <c r="Z34" s="10">
        <f>IF(ISBLANK(G33),0,IF(AB32=3,0,IF(AB32=1,1,3)))</f>
        <v>0</v>
      </c>
      <c r="AA34" s="10">
        <f>IF(ISBLANK(G36),0,IF(G36&gt;E36,3,IF(G36=E36,1,0)))</f>
        <v>1</v>
      </c>
      <c r="AB34" s="10" t="s">
        <v>78</v>
      </c>
      <c r="AC34" s="10">
        <f>IF(ISBLANK(E32),0,IF(E32&gt;G32,3,IF(E32=G32,1,0)))</f>
        <v>0</v>
      </c>
      <c r="AD34" s="34" t="b">
        <f>10*(Y32-Y34)+W32-W34&lt;0</f>
        <v>0</v>
      </c>
      <c r="AE34" s="10" t="b">
        <f>10*(Y33-Y34)+W33-W34&lt;0</f>
        <v>0</v>
      </c>
      <c r="AF34" s="10" t="s">
        <v>78</v>
      </c>
      <c r="AG34" s="35" t="b">
        <f>10*(Y34-Y35)+W34-W35&gt;0</f>
        <v>0</v>
      </c>
      <c r="AH34" s="34">
        <f>10000*(Z34+AA34)+(G33-E33+G36-E36)*100+(G33+G36)</f>
        <v>9900</v>
      </c>
      <c r="AI34" s="10" t="s">
        <v>78</v>
      </c>
      <c r="AJ34" s="10">
        <f>10000*(Z34+AC34)+(E32-G32+G33-E33)*100+(E32+G33)</f>
        <v>-200</v>
      </c>
      <c r="AK34" s="35">
        <f>10000*(AA34+AC34)+(E32-G32+G36-E36)*100+(E32+G36)</f>
        <v>9900</v>
      </c>
      <c r="AL34" s="47">
        <f>-AN32</f>
        <v>0.5</v>
      </c>
      <c r="AM34" s="36">
        <f>-AN33</f>
        <v>0.5</v>
      </c>
      <c r="AN34" s="36" t="s">
        <v>78</v>
      </c>
      <c r="AO34" s="37">
        <f>IF($V34&gt;$V35,-0.5,IF($V35&gt;$V34,0.5,IF(AG34,-0.5,IF(AF35,0.5,BE34))))</f>
        <v>0.5</v>
      </c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34"/>
      <c r="BC34" s="10"/>
      <c r="BD34" s="10" t="s">
        <v>78</v>
      </c>
      <c r="BE34" s="35">
        <f>IF($AZ32,IF(G32-E32&lt;0,-0.5,IF(E32-G32&lt;0,0.5,0)),IF($AS32,IF($AJ34&gt;$AJ35,-0.5,IF($AJ34&lt;$AJ35,0.5,0)),IF($AT32,IF($AK34&gt;$AK35,-0.5,IF($AK34&lt;$AK35,0.5,0)),0)))</f>
        <v>0</v>
      </c>
      <c r="BF34" s="8"/>
      <c r="BG34" s="8"/>
      <c r="BH34" s="8"/>
    </row>
    <row r="35" spans="2:60">
      <c r="B35" s="180">
        <v>46198.833333333343</v>
      </c>
      <c r="C35" s="182" t="s">
        <v>85</v>
      </c>
      <c r="D35" s="17" t="str">
        <f>+Instructions!F34</f>
        <v>Türkiye (TUR)</v>
      </c>
      <c r="E35" s="151">
        <v>0</v>
      </c>
      <c r="F35" s="72" t="str">
        <f>+Instructions!F31</f>
        <v>USA</v>
      </c>
      <c r="G35" s="151">
        <v>1</v>
      </c>
      <c r="H35" s="15"/>
      <c r="I35" s="8"/>
      <c r="J35" s="55">
        <f>Q35</f>
        <v>4</v>
      </c>
      <c r="K35" s="56" t="str">
        <f t="array" ref="K35">INDEX(U32:U35,MATCH(S35,$T32:$T35,0))</f>
        <v>AUS</v>
      </c>
      <c r="L35" s="57">
        <f t="array" ref="L35">INDEX(V32:V35,MATCH(S35,$T32:$T35,0))</f>
        <v>1</v>
      </c>
      <c r="M35" s="58">
        <f t="array" ref="M35">INDEX(W32:W35,MATCH(S35,$T32:$T35,0))</f>
        <v>0</v>
      </c>
      <c r="N35" s="57">
        <f t="array" ref="N35">INDEX(X32:X35,MATCH(S35,$T32:$T35,0))</f>
        <v>2</v>
      </c>
      <c r="O35" s="59">
        <f t="array" ref="O35">INDEX(Y32:Y35,MATCH(S35,$T32:$T35,0))</f>
        <v>-2</v>
      </c>
      <c r="P35" s="8"/>
      <c r="Q35" s="30">
        <f>IF(ROUND(S35,0)=ROUND(S34,0),Q34,4)</f>
        <v>4</v>
      </c>
      <c r="R35" s="30">
        <f>ROUND(S35,0)</f>
        <v>4</v>
      </c>
      <c r="S35" s="31">
        <f>+SMALL(T32:T35,4)</f>
        <v>3.97</v>
      </c>
      <c r="T35" s="60">
        <f>SUM(AL35:AO35)+2.48</f>
        <v>1.98</v>
      </c>
      <c r="U35" s="61" t="str">
        <f>+Instructions!E34</f>
        <v>TUR</v>
      </c>
      <c r="V35" s="38">
        <f>SUM(Z35:AC35)</f>
        <v>4</v>
      </c>
      <c r="W35" s="62">
        <f>G32+E34+E35</f>
        <v>1</v>
      </c>
      <c r="X35" s="38">
        <f>E32+G34+G35</f>
        <v>1</v>
      </c>
      <c r="Y35" s="63">
        <f>W35-X35</f>
        <v>0</v>
      </c>
      <c r="Z35" s="38">
        <f>IF(ISBLANK(E35),0,IF(AC32=3,0,IF(AC32=1,1,3)))</f>
        <v>0</v>
      </c>
      <c r="AA35" s="38">
        <f>IF(ISBLANK(E34),0,IF(AC33=3,0,IF(AC33=1,1,3)))</f>
        <v>1</v>
      </c>
      <c r="AB35" s="38">
        <f>IF(ISBLANK(G32),0,IF(AC34=3,0,IF(AC34=1,1,3)))</f>
        <v>3</v>
      </c>
      <c r="AC35" s="38" t="s">
        <v>78</v>
      </c>
      <c r="AD35" s="62" t="b">
        <f>10*(Y32-Y35)+W32-W35&lt;0</f>
        <v>0</v>
      </c>
      <c r="AE35" s="38" t="b">
        <f>10*(Y33-Y35)+W33-W35&lt;0</f>
        <v>1</v>
      </c>
      <c r="AF35" s="38" t="b">
        <f>10*(Y34-Y35)+W34-W35&lt;0</f>
        <v>1</v>
      </c>
      <c r="AG35" s="63" t="s">
        <v>78</v>
      </c>
      <c r="AH35" s="62" t="s">
        <v>78</v>
      </c>
      <c r="AI35" s="38">
        <f>10000*(Z35+AA35)+(E34-G34+E35-G35)*100+(E34+E35)</f>
        <v>9900</v>
      </c>
      <c r="AJ35" s="38">
        <f>10000*(Z35+AB35)+(E35-G35+G32-E32)*100+(E35+G32)</f>
        <v>30001</v>
      </c>
      <c r="AK35" s="63">
        <f>10000*(AA35+AB35)+(E34-G34+G32-E32)*100+(E34+G32)</f>
        <v>40101</v>
      </c>
      <c r="AL35" s="64">
        <f>-AO32</f>
        <v>0.5</v>
      </c>
      <c r="AM35" s="65">
        <f>-AO33</f>
        <v>-0.5</v>
      </c>
      <c r="AN35" s="65">
        <f>-AO34</f>
        <v>-0.5</v>
      </c>
      <c r="AO35" s="63" t="s">
        <v>78</v>
      </c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62"/>
      <c r="BC35" s="38"/>
      <c r="BD35" s="38"/>
      <c r="BE35" s="63" t="s">
        <v>78</v>
      </c>
      <c r="BF35" s="8"/>
      <c r="BG35" s="8"/>
      <c r="BH35" s="8"/>
    </row>
    <row r="36" spans="2:60">
      <c r="B36" s="183">
        <v>46198.833333333343</v>
      </c>
      <c r="C36" s="184" t="s">
        <v>83</v>
      </c>
      <c r="D36" s="68" t="str">
        <f>+Instructions!F32</f>
        <v>Paraguay (PAR)</v>
      </c>
      <c r="E36" s="151">
        <v>0</v>
      </c>
      <c r="F36" s="78" t="str">
        <f>+Instructions!F33</f>
        <v>Australia (AUS)</v>
      </c>
      <c r="G36" s="151">
        <v>0</v>
      </c>
      <c r="H36" s="15"/>
      <c r="I36" s="8"/>
      <c r="J36" s="10"/>
      <c r="K36" s="70" t="str">
        <f>IF(ISBLANK(G36)," ",+IF(OR(J34&lt;3,J33&lt;2),"TIE BREAK! Pick your qualifiers on the Knock-Out Predictions sheet"," "))</f>
        <v xml:space="preserve"> 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2:60">
      <c r="B37" s="11"/>
      <c r="C37" s="12"/>
      <c r="D37" s="8"/>
      <c r="E37" s="13"/>
      <c r="F37" s="14"/>
      <c r="G37" s="13"/>
      <c r="H37" s="15"/>
      <c r="I37" s="8"/>
      <c r="J37" s="10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2:60">
      <c r="B38" s="231" t="s">
        <v>93</v>
      </c>
      <c r="C38" s="232"/>
      <c r="D38" s="232"/>
      <c r="E38" s="232"/>
      <c r="F38" s="232"/>
      <c r="G38" s="233"/>
      <c r="H38" s="15"/>
      <c r="I38" s="8"/>
      <c r="J38" s="10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2:60" ht="17">
      <c r="B39" s="180">
        <v>46187.458333333343</v>
      </c>
      <c r="C39" s="181" t="s">
        <v>94</v>
      </c>
      <c r="D39" s="17" t="str">
        <f>+Instructions!F37</f>
        <v>Germany (GER)</v>
      </c>
      <c r="E39" s="150">
        <v>5</v>
      </c>
      <c r="F39" s="83" t="str">
        <f>+Instructions!F38</f>
        <v>Curaçao (CUW)</v>
      </c>
      <c r="G39" s="150">
        <v>0</v>
      </c>
      <c r="H39" s="15"/>
      <c r="I39" s="8"/>
      <c r="J39" s="10"/>
      <c r="K39" s="178" t="s">
        <v>93</v>
      </c>
      <c r="L39" s="179" t="s">
        <v>42</v>
      </c>
      <c r="M39" s="206" t="s">
        <v>43</v>
      </c>
      <c r="N39" s="207" t="s">
        <v>368</v>
      </c>
      <c r="O39" s="207" t="s">
        <v>369</v>
      </c>
      <c r="P39" s="8"/>
      <c r="Q39" s="8"/>
      <c r="R39" s="8"/>
      <c r="S39" s="8"/>
      <c r="T39" s="19" t="s">
        <v>46</v>
      </c>
      <c r="U39" s="20" t="s">
        <v>47</v>
      </c>
      <c r="V39" s="21" t="s">
        <v>42</v>
      </c>
      <c r="W39" s="19" t="s">
        <v>43</v>
      </c>
      <c r="X39" s="21" t="s">
        <v>44</v>
      </c>
      <c r="Y39" s="22" t="s">
        <v>48</v>
      </c>
      <c r="Z39" s="21" t="s">
        <v>49</v>
      </c>
      <c r="AA39" s="21" t="s">
        <v>50</v>
      </c>
      <c r="AB39" s="21" t="s">
        <v>51</v>
      </c>
      <c r="AC39" s="21" t="s">
        <v>52</v>
      </c>
      <c r="AD39" s="19" t="s">
        <v>53</v>
      </c>
      <c r="AE39" s="21" t="s">
        <v>54</v>
      </c>
      <c r="AF39" s="21" t="s">
        <v>55</v>
      </c>
      <c r="AG39" s="22" t="s">
        <v>56</v>
      </c>
      <c r="AH39" s="19" t="s">
        <v>57</v>
      </c>
      <c r="AI39" s="21" t="s">
        <v>58</v>
      </c>
      <c r="AJ39" s="21" t="s">
        <v>59</v>
      </c>
      <c r="AK39" s="22" t="s">
        <v>60</v>
      </c>
      <c r="AL39" s="19" t="s">
        <v>61</v>
      </c>
      <c r="AM39" s="21" t="s">
        <v>62</v>
      </c>
      <c r="AN39" s="21" t="s">
        <v>63</v>
      </c>
      <c r="AO39" s="22" t="s">
        <v>64</v>
      </c>
      <c r="AP39" s="19" t="s">
        <v>65</v>
      </c>
      <c r="AQ39" s="21" t="s">
        <v>57</v>
      </c>
      <c r="AR39" s="21" t="s">
        <v>58</v>
      </c>
      <c r="AS39" s="21" t="s">
        <v>59</v>
      </c>
      <c r="AT39" s="21" t="s">
        <v>60</v>
      </c>
      <c r="AU39" s="21" t="s">
        <v>66</v>
      </c>
      <c r="AV39" s="21" t="s">
        <v>67</v>
      </c>
      <c r="AW39" s="21" t="s">
        <v>68</v>
      </c>
      <c r="AX39" s="21" t="s">
        <v>69</v>
      </c>
      <c r="AY39" s="21" t="s">
        <v>70</v>
      </c>
      <c r="AZ39" s="21" t="s">
        <v>71</v>
      </c>
      <c r="BA39" s="22" t="s">
        <v>72</v>
      </c>
      <c r="BB39" s="19" t="s">
        <v>73</v>
      </c>
      <c r="BC39" s="21" t="s">
        <v>74</v>
      </c>
      <c r="BD39" s="21" t="s">
        <v>75</v>
      </c>
      <c r="BE39" s="22" t="s">
        <v>76</v>
      </c>
      <c r="BF39" s="8"/>
      <c r="BG39" s="8"/>
      <c r="BH39" s="8"/>
    </row>
    <row r="40" spans="2:60">
      <c r="B40" s="180">
        <v>46187.791666666657</v>
      </c>
      <c r="C40" s="182" t="s">
        <v>90</v>
      </c>
      <c r="D40" s="17" t="str">
        <f>+Instructions!F39</f>
        <v>Côte d'Ivoire (CIV)</v>
      </c>
      <c r="E40" s="151">
        <v>0</v>
      </c>
      <c r="F40" s="72" t="str">
        <f>+Instructions!F40</f>
        <v>Ecuador (ECU)</v>
      </c>
      <c r="G40" s="151">
        <v>1</v>
      </c>
      <c r="H40" s="15"/>
      <c r="I40" s="8"/>
      <c r="J40" s="25">
        <f>Q40</f>
        <v>1</v>
      </c>
      <c r="K40" s="73" t="str">
        <f t="array" ref="K40">INDEX(U40:U43,MATCH(S40,$T40:$T43,0))</f>
        <v>GER</v>
      </c>
      <c r="L40" s="27">
        <f t="array" ref="L40">INDEX(V40:V43,MATCH(S40,$T40:$T43,0))</f>
        <v>9</v>
      </c>
      <c r="M40" s="28">
        <f t="array" ref="M40">INDEX(W40:W43,MATCH(S40,$T40:$T43,0))</f>
        <v>8</v>
      </c>
      <c r="N40" s="27">
        <f t="array" ref="N40">INDEX(X40:X43,MATCH(S40,$T40:$T43,0))</f>
        <v>0</v>
      </c>
      <c r="O40" s="29">
        <f t="array" ref="O40">INDEX(Y40:Y43,MATCH(S40,$T40:$T43,0))</f>
        <v>8</v>
      </c>
      <c r="P40" s="8"/>
      <c r="Q40" s="30">
        <v>1</v>
      </c>
      <c r="R40" s="30">
        <f>ROUND(S40,0)</f>
        <v>1</v>
      </c>
      <c r="S40" s="31">
        <f>+SMALL(T40:T43,1)</f>
        <v>0.95000000000000018</v>
      </c>
      <c r="T40" s="32">
        <f>SUM(AL40:AO40)+2.45</f>
        <v>0.95000000000000018</v>
      </c>
      <c r="U40" s="33" t="str">
        <f>+Instructions!E37</f>
        <v>GER</v>
      </c>
      <c r="V40" s="10">
        <f>SUM(Z40:AC40)</f>
        <v>9</v>
      </c>
      <c r="W40" s="34">
        <f>E39+E41+G43</f>
        <v>8</v>
      </c>
      <c r="X40" s="10">
        <f>G39+G41+E43</f>
        <v>0</v>
      </c>
      <c r="Y40" s="35">
        <f>W40-X40</f>
        <v>8</v>
      </c>
      <c r="Z40" s="10" t="s">
        <v>78</v>
      </c>
      <c r="AA40" s="10">
        <f>IF(ISBLANK(E39),0,IF(E39&gt;G39,3,IF(E39=G39,1,0)))</f>
        <v>3</v>
      </c>
      <c r="AB40" s="10">
        <f>IF(ISBLANK(E41),0,IF(E41&gt;G41,3,IF(E41=G41,1,0)))</f>
        <v>3</v>
      </c>
      <c r="AC40" s="10">
        <f>IF(ISBLANK(G43),0,IF(G43&gt;E43,3,IF(G43=E43,1,0)))</f>
        <v>3</v>
      </c>
      <c r="AD40" s="34" t="s">
        <v>78</v>
      </c>
      <c r="AE40" s="10" t="b">
        <f>(10*(Y40-Y41)+W40-W41&gt;0)</f>
        <v>1</v>
      </c>
      <c r="AF40" s="10" t="b">
        <f>10*(Y40-Y42)+W40-W42&gt;0</f>
        <v>1</v>
      </c>
      <c r="AG40" s="35" t="b">
        <f>10*(Y40-Y43)+W40-W43&gt;0</f>
        <v>1</v>
      </c>
      <c r="AH40" s="34">
        <f>10000*(AA40+AB40)+(E41-G41+E39-G39)*100+(E41+E39)</f>
        <v>60707</v>
      </c>
      <c r="AI40" s="10">
        <f>10000*(AA40+AC40)+(E39-G39+G43-E43)*100+(E39+G43)</f>
        <v>60606</v>
      </c>
      <c r="AJ40" s="10">
        <f>10000*(AB40+AC40)+(G43-E43+E41-G41)*100+(G43+E41)</f>
        <v>60303</v>
      </c>
      <c r="AK40" s="35" t="s">
        <v>78</v>
      </c>
      <c r="AL40" s="34" t="s">
        <v>78</v>
      </c>
      <c r="AM40" s="36">
        <f>IF($V40&gt;$V41,-0.5,IF($V41&gt;$V40,0.5,IF(AE40,-0.5,IF(AD41,0.5,BC40))))</f>
        <v>-0.5</v>
      </c>
      <c r="AN40" s="36">
        <f>IF($V40&gt;$V42,-0.5,IF($V42&gt;$V40,0.5,IF(AF40,-0.5,IF(AD42,0.5,BD40))))</f>
        <v>-0.5</v>
      </c>
      <c r="AO40" s="37">
        <f>IF($V40&gt;$V43,-0.5,IF($V43&gt;$V40,0.5,IF(AG40,-0.5,IF(AD43,0.5,BE40))))</f>
        <v>-0.5</v>
      </c>
      <c r="AP40" s="38" t="b">
        <f>AND(AND(V40=V41,V41=V42,V42=V43),AND(W40=W41,W41=W42,W42=W43),AND(X40=X41,X41=X42,X42=X43))</f>
        <v>0</v>
      </c>
      <c r="AQ40" s="38" t="b">
        <f>AND(NOT(AP40),V40=V41,V40=V42,W40=W41,W40=W42,X40=X41,X40=X42)</f>
        <v>0</v>
      </c>
      <c r="AR40" s="38" t="b">
        <f>AND(NOT(AP40),V40=V41,V40=V43,W40=W41,W40=W43,X40=X41,X40=X43)</f>
        <v>0</v>
      </c>
      <c r="AS40" s="38" t="b">
        <f>AND(NOT(AP40),V40=V42,V40=V43,W40=W42,W40=W43,X40=X42,X40=X43)</f>
        <v>0</v>
      </c>
      <c r="AT40" s="38" t="b">
        <f>AND(NOT(AP40),V41=V42,V41=V43,W41=W42,W41=W43,X41=X42,X41=X43)</f>
        <v>0</v>
      </c>
      <c r="AU40" s="38" t="b">
        <f>AND(NOT(AP40),NOT(AQ40),NOT(AR40),V40=V41,W40=W41,X40=X41)</f>
        <v>0</v>
      </c>
      <c r="AV40" s="38" t="b">
        <f>AND(NOT(AP40),NOT(AQ40),NOT(AS40),V40=V42,W40=W42,X40=X42)</f>
        <v>0</v>
      </c>
      <c r="AW40" s="38" t="b">
        <f>AND(NOT(AP40),NOT(AR40),NOT(AS40),V40=V43,W40=W43,X40=X43)</f>
        <v>0</v>
      </c>
      <c r="AX40" s="38" t="b">
        <f>AND(NOT(AP40),NOT(AQ40),NOT(AT40),V41=V42,W41=W42)</f>
        <v>0</v>
      </c>
      <c r="AY40" s="38" t="b">
        <f>AND(NOT(AP40),NOT(AR40),NOT(AT40),V41=V43,W41=W43,X41=X43)</f>
        <v>0</v>
      </c>
      <c r="AZ40" s="38" t="b">
        <f>AND(NOT(AP40),NOT(AS40),NOT(AT40),V42=V43,W42=W43,X42=X43)</f>
        <v>0</v>
      </c>
      <c r="BA40" s="38" t="b">
        <f t="array" ref="BA40">AND(NOT(AP40:AZ40))</f>
        <v>1</v>
      </c>
      <c r="BB40" s="34" t="s">
        <v>78</v>
      </c>
      <c r="BC40" s="10">
        <f>IF($AU40,IF(G39-E39&lt;0,-0.5,IF(E39-G39&lt;0,0.5,0)),IF($AQ40,IF($AH40&gt;$AH41,-0.5,IF($AH40&lt;$AH41,0.5,0)),IF($AR40,IF($AI40&gt;$AI41,-0.5, IF($AI40&lt;$AI41,0.5,0)),0)))</f>
        <v>0</v>
      </c>
      <c r="BD40" s="10">
        <f>IF($AV40,IF(G41-E41&lt;0,-0.5,IF(E41-G41&lt;0,0.5,0)),IF($AQ40,IF($AH40&gt;$AH42,-0.5,IF($AH40&lt;$AH42,0.5,0)),IF($AS40,IF($AJ40&gt;$AJ42,-0.5,IF($AJ40&lt;$AJ42,0.5,0)),0)))</f>
        <v>0</v>
      </c>
      <c r="BE40" s="35">
        <f>IF($AW40,IF(E43-G43&lt;0,-0.5,IF(G43-E43&lt;0,0.5,0)),IF($AR40,IF($AI40&gt;$AI43,-0.5,IF($AI40&lt;$AI43,0.5,0)),IF($AS40,IF($AJ40&gt;$AJ43,-0.5, IF($AJ40&lt;$AJ43,0.5,0)),0)))</f>
        <v>0</v>
      </c>
      <c r="BF40" s="8"/>
      <c r="BG40" s="8"/>
      <c r="BH40" s="8"/>
    </row>
    <row r="41" spans="2:60">
      <c r="B41" s="180">
        <v>46193.583333333343</v>
      </c>
      <c r="C41" s="182" t="s">
        <v>82</v>
      </c>
      <c r="D41" s="17" t="str">
        <f>+Instructions!F37</f>
        <v>Germany (GER)</v>
      </c>
      <c r="E41" s="151">
        <v>2</v>
      </c>
      <c r="F41" s="72" t="str">
        <f>+Instructions!F39</f>
        <v>Côte d'Ivoire (CIV)</v>
      </c>
      <c r="G41" s="151">
        <v>0</v>
      </c>
      <c r="H41" s="15"/>
      <c r="I41" s="8"/>
      <c r="J41" s="41">
        <f>Q41</f>
        <v>2</v>
      </c>
      <c r="K41" s="74" t="str">
        <f t="array" ref="K41">INDEX(U40:U43,MATCH(S41,$T40:$T43,0))</f>
        <v>ECU</v>
      </c>
      <c r="L41" s="43">
        <f t="array" ref="L41">INDEX(V40:V43,MATCH(S41,$T40:$T43,0))</f>
        <v>6</v>
      </c>
      <c r="M41" s="44">
        <f t="array" ref="M41">INDEX(W40:W43,MATCH(S41,$T40:$T43,0))</f>
        <v>4</v>
      </c>
      <c r="N41" s="43">
        <f t="array" ref="N41">INDEX(X40:X43,MATCH(S41,$T40:$T43,0))</f>
        <v>1</v>
      </c>
      <c r="O41" s="45">
        <f t="array" ref="O41">INDEX(Y40:Y43,MATCH(S41,$T40:$T43,0))</f>
        <v>3</v>
      </c>
      <c r="P41" s="8"/>
      <c r="Q41" s="30">
        <f>IF(ROUND(S41,0)=ROUND(S40,0),Q40,2)</f>
        <v>2</v>
      </c>
      <c r="R41" s="30">
        <f>ROUND(S41,0)</f>
        <v>2</v>
      </c>
      <c r="S41" s="31">
        <f>+SMALL(T40:T43,2)</f>
        <v>1.98</v>
      </c>
      <c r="T41" s="46">
        <f>SUM(AL41:AO41)+2.46</f>
        <v>3.96</v>
      </c>
      <c r="U41" s="33" t="str">
        <f>+Instructions!E38</f>
        <v>CUW</v>
      </c>
      <c r="V41" s="10">
        <f>SUM(Z41:AC41)</f>
        <v>0</v>
      </c>
      <c r="W41" s="34">
        <f>G39+G42+E44</f>
        <v>0</v>
      </c>
      <c r="X41" s="10">
        <f>E39+E42+G44</f>
        <v>11</v>
      </c>
      <c r="Y41" s="35">
        <f>W41-X41</f>
        <v>-11</v>
      </c>
      <c r="Z41" s="10">
        <f>IF(ISBLANK(G39),0,IF(AA40=3,0,IF(AA40=1,1,3)))</f>
        <v>0</v>
      </c>
      <c r="AA41" s="10" t="s">
        <v>78</v>
      </c>
      <c r="AB41" s="10">
        <f>IF(ISBLANK(E44),0,IF(AA42=3,0,IF(AA42=1,1,3)))</f>
        <v>0</v>
      </c>
      <c r="AC41" s="10">
        <f>IF(ISBLANK(G42),0,IF(G42&gt;E42,3,IF(G42=E42,1,0)))</f>
        <v>0</v>
      </c>
      <c r="AD41" s="34" t="b">
        <f>(10*(Y40-Y41)+W40-W41&lt;0)</f>
        <v>0</v>
      </c>
      <c r="AE41" s="10" t="s">
        <v>78</v>
      </c>
      <c r="AF41" s="10" t="b">
        <f>10*(Y41-Y42)+W41-W42&gt;0</f>
        <v>0</v>
      </c>
      <c r="AG41" s="35" t="b">
        <f>10*(Y41-Y43)+W41-W43&gt;0</f>
        <v>0</v>
      </c>
      <c r="AH41" s="34">
        <f>10000*(Z41+AB41)+(G39-E39+E44-G44)*100+(G39+E44)</f>
        <v>-800</v>
      </c>
      <c r="AI41" s="10">
        <f>10000*(Z41+AC41)+(G39-E39+G42-E42)*100+(G39+G42)</f>
        <v>-800</v>
      </c>
      <c r="AJ41" s="10" t="s">
        <v>78</v>
      </c>
      <c r="AK41" s="35">
        <f>10000*(AB41+AC41)+(G42-E42+E44-G44)*100+(G42+E44)</f>
        <v>-600</v>
      </c>
      <c r="AL41" s="47">
        <f>-AM40</f>
        <v>0.5</v>
      </c>
      <c r="AM41" s="10" t="s">
        <v>78</v>
      </c>
      <c r="AN41" s="36">
        <f>IF($V41&gt;$V42,-0.5,IF($V42&gt;$V41,0.5,IF(AF41,-0.5,IF(AE42,0.5,BD41))))</f>
        <v>0.5</v>
      </c>
      <c r="AO41" s="37">
        <f>IF($V41&gt;$V43,-0.5,IF($V43&gt;$V41,0.5,IF(AG41,-0.5,IF(AE43,0.5,BE41))))</f>
        <v>0.5</v>
      </c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34"/>
      <c r="BC41" s="10" t="s">
        <v>78</v>
      </c>
      <c r="BD41" s="10">
        <f>IF($AX40,IF(G44-E44&lt;0,-0.5,IF(E44-G44&lt;0,0.5,0)),IF($AQ40,IF($AH41&gt;$AH42,-0.5,IF($AH41&lt;$AH42,0.5,0)),IF($AT40,IF($AK41&gt;$AK42,-0.5,IF($AK41&lt;$AK42,0.5,0)),0)))</f>
        <v>0</v>
      </c>
      <c r="BE41" s="35">
        <f>IF($AY40,IF(E42-G42&lt;0,-0.5,IF(G42-E42&lt;0,0.5,0)),IF($AR40,IF($AI41&gt;$AI43,-0.5,IF($AI41&lt;$AI43,0.5,0)),IF($AT40,IF($AK41&gt;$AK43,-0.5,IF($AK41&lt;$AK43,0.5,0)),0)))</f>
        <v>0</v>
      </c>
      <c r="BF41" s="8"/>
      <c r="BG41" s="8"/>
      <c r="BH41" s="8"/>
    </row>
    <row r="42" spans="2:60">
      <c r="B42" s="180">
        <v>46193.75</v>
      </c>
      <c r="C42" s="182" t="s">
        <v>95</v>
      </c>
      <c r="D42" s="17" t="str">
        <f>+Instructions!F40</f>
        <v>Ecuador (ECU)</v>
      </c>
      <c r="E42" s="151">
        <v>3</v>
      </c>
      <c r="F42" s="84" t="str">
        <f>+Instructions!F38</f>
        <v>Curaçao (CUW)</v>
      </c>
      <c r="G42" s="151">
        <v>0</v>
      </c>
      <c r="H42" s="15"/>
      <c r="I42" s="8"/>
      <c r="J42" s="41">
        <f>Q42</f>
        <v>3</v>
      </c>
      <c r="K42" s="76" t="str">
        <f t="array" ref="K42">INDEX(U40:U43,MATCH(S42,$T40:$T43,0))</f>
        <v>CIV</v>
      </c>
      <c r="L42" s="54">
        <f t="array" ref="L42">INDEX(V40:V43,MATCH(S42,$T40:$T43,0))</f>
        <v>3</v>
      </c>
      <c r="M42" s="53">
        <f t="array" ref="M42">INDEX(W40:W43,MATCH(S42,$T40:$T43,0))</f>
        <v>3</v>
      </c>
      <c r="N42" s="54">
        <f t="array" ref="N42">INDEX(X40:X43,MATCH(S42,$T40:$T43,0))</f>
        <v>3</v>
      </c>
      <c r="O42" s="52">
        <f t="array" ref="O42">INDEX(Y40:Y43,MATCH(S42,$T40:$T43,0))</f>
        <v>0</v>
      </c>
      <c r="P42" s="8"/>
      <c r="Q42" s="30">
        <f>IF(ROUND(S42,0)=ROUND(S41,0),Q41,3)</f>
        <v>3</v>
      </c>
      <c r="R42" s="30">
        <f>ROUND(S42,0)</f>
        <v>3</v>
      </c>
      <c r="S42" s="31">
        <f>+SMALL(T40:T43,3)</f>
        <v>2.97</v>
      </c>
      <c r="T42" s="46">
        <f>SUM(AL42:AO42)+2.47</f>
        <v>2.97</v>
      </c>
      <c r="U42" s="33" t="str">
        <f>+Instructions!E39</f>
        <v>CIV</v>
      </c>
      <c r="V42" s="10">
        <f>SUM(Z42:AC42)</f>
        <v>3</v>
      </c>
      <c r="W42" s="34">
        <f>E40+G41+G44</f>
        <v>3</v>
      </c>
      <c r="X42" s="10">
        <f>G40+E41+E44</f>
        <v>3</v>
      </c>
      <c r="Y42" s="35">
        <f>W42-X42</f>
        <v>0</v>
      </c>
      <c r="Z42" s="10">
        <f>IF(ISBLANK(G41),0,IF(AB40=3,0,IF(AB40=1,1,3)))</f>
        <v>0</v>
      </c>
      <c r="AA42" s="10">
        <f>IF(ISBLANK(G44),0,IF(G44&gt;E44,3,IF(G44=E44,1,0)))</f>
        <v>3</v>
      </c>
      <c r="AB42" s="10" t="s">
        <v>78</v>
      </c>
      <c r="AC42" s="10">
        <f>IF(ISBLANK(E40),0,IF(E40&gt;G40,3,IF(E40=G40,1,0)))</f>
        <v>0</v>
      </c>
      <c r="AD42" s="34" t="b">
        <f>10*(Y40-Y42)+W40-W42&lt;0</f>
        <v>0</v>
      </c>
      <c r="AE42" s="10" t="b">
        <f>10*(Y41-Y42)+W41-W42&lt;0</f>
        <v>1</v>
      </c>
      <c r="AF42" s="10" t="s">
        <v>78</v>
      </c>
      <c r="AG42" s="35" t="b">
        <f>10*(Y42-Y43)+W42-W43&gt;0</f>
        <v>0</v>
      </c>
      <c r="AH42" s="34">
        <f>10000*(Z42+AA42)+(G41-E41+G44-E44)*100+(G41+G44)</f>
        <v>30103</v>
      </c>
      <c r="AI42" s="10" t="s">
        <v>78</v>
      </c>
      <c r="AJ42" s="10">
        <f>10000*(Z42+AC42)+(E40-G40+G41-E41)*100+(E40+G41)</f>
        <v>-300</v>
      </c>
      <c r="AK42" s="35">
        <f>10000*(AA42+AC42)+(E40-G40+G44-E44)*100+(E40+G44)</f>
        <v>30203</v>
      </c>
      <c r="AL42" s="47">
        <f>-AN40</f>
        <v>0.5</v>
      </c>
      <c r="AM42" s="36">
        <f>-AN41</f>
        <v>-0.5</v>
      </c>
      <c r="AN42" s="36" t="s">
        <v>78</v>
      </c>
      <c r="AO42" s="37">
        <f>IF($V42&gt;$V43,-0.5,IF($V43&gt;$V42,0.5,IF(AG42,-0.5,IF(AF43,0.5,BE42))))</f>
        <v>0.5</v>
      </c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34"/>
      <c r="BC42" s="10"/>
      <c r="BD42" s="10" t="s">
        <v>78</v>
      </c>
      <c r="BE42" s="35">
        <f>IF($AZ40,IF(G40-E40&lt;0,-0.5,IF(E40-G40&lt;0,0.5,0)),IF($AS40,IF($AJ42&gt;$AJ43,-0.5,IF($AJ42&lt;$AJ43,0.5,0)),IF($AT40,IF($AK42&gt;$AK43,-0.5,IF($AK42&lt;$AK43,0.5,0)),0)))</f>
        <v>0</v>
      </c>
      <c r="BF42" s="8"/>
      <c r="BG42" s="8"/>
      <c r="BH42" s="8"/>
    </row>
    <row r="43" spans="2:60">
      <c r="B43" s="180">
        <v>46198.583333333343</v>
      </c>
      <c r="C43" s="182" t="s">
        <v>88</v>
      </c>
      <c r="D43" s="17" t="str">
        <f>+Instructions!F40</f>
        <v>Ecuador (ECU)</v>
      </c>
      <c r="E43" s="151">
        <v>0</v>
      </c>
      <c r="F43" s="72" t="str">
        <f>+Instructions!F37</f>
        <v>Germany (GER)</v>
      </c>
      <c r="G43" s="151">
        <v>1</v>
      </c>
      <c r="H43" s="15"/>
      <c r="I43" s="8"/>
      <c r="J43" s="55">
        <f>Q43</f>
        <v>4</v>
      </c>
      <c r="K43" s="56" t="str">
        <f t="array" ref="K43">INDEX(U40:U43,MATCH(S43,$T40:$T43,0))</f>
        <v>CUW</v>
      </c>
      <c r="L43" s="57">
        <f t="array" ref="L43">INDEX(V40:V43,MATCH(S43,$T40:$T43,0))</f>
        <v>0</v>
      </c>
      <c r="M43" s="58">
        <f t="array" ref="M43">INDEX(W40:W43,MATCH(S43,$T40:$T43,0))</f>
        <v>0</v>
      </c>
      <c r="N43" s="57">
        <f t="array" ref="N43">INDEX(X40:X43,MATCH(S43,$T40:$T43,0))</f>
        <v>11</v>
      </c>
      <c r="O43" s="59">
        <f t="array" ref="O43">INDEX(Y40:Y43,MATCH(S43,$T40:$T43,0))</f>
        <v>-11</v>
      </c>
      <c r="P43" s="8"/>
      <c r="Q43" s="30">
        <f>IF(ROUND(S43,0)=ROUND(S42,0),Q42,4)</f>
        <v>4</v>
      </c>
      <c r="R43" s="30">
        <f>ROUND(S43,0)</f>
        <v>4</v>
      </c>
      <c r="S43" s="31">
        <f>+SMALL(T40:T43,4)</f>
        <v>3.96</v>
      </c>
      <c r="T43" s="60">
        <f>SUM(AL43:AO43)+2.48</f>
        <v>1.98</v>
      </c>
      <c r="U43" s="61" t="str">
        <f>+Instructions!E40</f>
        <v>ECU</v>
      </c>
      <c r="V43" s="38">
        <f>SUM(Z43:AC43)</f>
        <v>6</v>
      </c>
      <c r="W43" s="62">
        <f>G40+E42+E43</f>
        <v>4</v>
      </c>
      <c r="X43" s="38">
        <f>E40+G42+G43</f>
        <v>1</v>
      </c>
      <c r="Y43" s="63">
        <f>W43-X43</f>
        <v>3</v>
      </c>
      <c r="Z43" s="38">
        <f>IF(ISBLANK(E43),0,IF(AC40=3,0,IF(AC40=1,1,3)))</f>
        <v>0</v>
      </c>
      <c r="AA43" s="38">
        <f>IF(ISBLANK(E42),0,IF(AC41=3,0,IF(AC41=1,1,3)))</f>
        <v>3</v>
      </c>
      <c r="AB43" s="38">
        <f>IF(ISBLANK(G40),0,IF(AC42=3,0,IF(AC42=1,1,3)))</f>
        <v>3</v>
      </c>
      <c r="AC43" s="38" t="s">
        <v>78</v>
      </c>
      <c r="AD43" s="62" t="b">
        <f>10*(Y40-Y43)+W40-W43&lt;0</f>
        <v>0</v>
      </c>
      <c r="AE43" s="38" t="b">
        <f>10*(Y41-Y43)+W41-W43&lt;0</f>
        <v>1</v>
      </c>
      <c r="AF43" s="38" t="b">
        <f>10*(Y42-Y43)+W42-W43&lt;0</f>
        <v>1</v>
      </c>
      <c r="AG43" s="63" t="s">
        <v>78</v>
      </c>
      <c r="AH43" s="62" t="s">
        <v>78</v>
      </c>
      <c r="AI43" s="38">
        <f>10000*(Z43+AA43)+(E42-G42+E43-G43)*100+(E42+E43)</f>
        <v>30203</v>
      </c>
      <c r="AJ43" s="38">
        <f>10000*(Z43+AB43)+(E43-G43+G40-E40)*100+(E43+G40)</f>
        <v>30001</v>
      </c>
      <c r="AK43" s="63">
        <f>10000*(AA43+AB43)+(E42-G42+G40-E40)*100+(E42+G40)</f>
        <v>60404</v>
      </c>
      <c r="AL43" s="64">
        <f>-AO40</f>
        <v>0.5</v>
      </c>
      <c r="AM43" s="65">
        <f>-AO41</f>
        <v>-0.5</v>
      </c>
      <c r="AN43" s="65">
        <f>-AO42</f>
        <v>-0.5</v>
      </c>
      <c r="AO43" s="63" t="s">
        <v>78</v>
      </c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62"/>
      <c r="BC43" s="38"/>
      <c r="BD43" s="38"/>
      <c r="BE43" s="63" t="s">
        <v>78</v>
      </c>
      <c r="BF43" s="8"/>
      <c r="BG43" s="8"/>
      <c r="BH43" s="8"/>
    </row>
    <row r="44" spans="2:60">
      <c r="B44" s="183">
        <v>46198.583333333343</v>
      </c>
      <c r="C44" s="184" t="s">
        <v>90</v>
      </c>
      <c r="D44" s="68" t="str">
        <f>+Instructions!F38</f>
        <v>Curaçao (CUW)</v>
      </c>
      <c r="E44" s="151">
        <v>0</v>
      </c>
      <c r="F44" s="228" t="str">
        <f>+Instructions!F39</f>
        <v>Côte d'Ivoire (CIV)</v>
      </c>
      <c r="G44" s="151">
        <v>3</v>
      </c>
      <c r="H44" s="15"/>
      <c r="I44" s="8"/>
      <c r="J44" s="10"/>
      <c r="K44" s="70" t="str">
        <f>IF(ISBLANK(G44)," ",+IF(OR(J42&lt;3,J41&lt;2),"TIE BREAK! Pick your qualifiers on the Knock-Out Predictions sheet"," "))</f>
        <v xml:space="preserve"> 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2:60" ht="18">
      <c r="B45" s="6"/>
      <c r="D45" s="3"/>
      <c r="E45" s="86"/>
      <c r="F45" s="3"/>
      <c r="G45" s="86"/>
      <c r="H45" s="15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2:60">
      <c r="B46" s="231" t="s">
        <v>96</v>
      </c>
      <c r="C46" s="232"/>
      <c r="D46" s="232"/>
      <c r="E46" s="232"/>
      <c r="F46" s="232"/>
      <c r="G46" s="233"/>
      <c r="H46" s="15"/>
      <c r="I46" s="8"/>
      <c r="J46" s="10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2:60">
      <c r="B47" s="180">
        <v>46187.583333333343</v>
      </c>
      <c r="C47" s="181" t="s">
        <v>97</v>
      </c>
      <c r="D47" s="8" t="str">
        <f>+Instructions!F43</f>
        <v>Netherlands (NED)</v>
      </c>
      <c r="E47" s="150">
        <v>1</v>
      </c>
      <c r="F47" s="72" t="str">
        <f>+Instructions!F44</f>
        <v>Japan (JPN)</v>
      </c>
      <c r="G47" s="150">
        <v>1</v>
      </c>
      <c r="H47" s="15"/>
      <c r="I47" s="8"/>
      <c r="J47" s="10"/>
      <c r="K47" s="178" t="s">
        <v>96</v>
      </c>
      <c r="L47" s="179" t="s">
        <v>42</v>
      </c>
      <c r="M47" s="206" t="s">
        <v>43</v>
      </c>
      <c r="N47" s="207" t="s">
        <v>368</v>
      </c>
      <c r="O47" s="207" t="s">
        <v>369</v>
      </c>
      <c r="P47" s="8"/>
      <c r="Q47" s="8"/>
      <c r="R47" s="8"/>
      <c r="S47" s="8"/>
      <c r="T47" s="19" t="s">
        <v>46</v>
      </c>
      <c r="U47" s="20" t="s">
        <v>47</v>
      </c>
      <c r="V47" s="21" t="s">
        <v>42</v>
      </c>
      <c r="W47" s="19" t="s">
        <v>43</v>
      </c>
      <c r="X47" s="21" t="s">
        <v>44</v>
      </c>
      <c r="Y47" s="22" t="s">
        <v>48</v>
      </c>
      <c r="Z47" s="21" t="s">
        <v>49</v>
      </c>
      <c r="AA47" s="21" t="s">
        <v>50</v>
      </c>
      <c r="AB47" s="21" t="s">
        <v>51</v>
      </c>
      <c r="AC47" s="21" t="s">
        <v>52</v>
      </c>
      <c r="AD47" s="19" t="s">
        <v>53</v>
      </c>
      <c r="AE47" s="21" t="s">
        <v>54</v>
      </c>
      <c r="AF47" s="21" t="s">
        <v>55</v>
      </c>
      <c r="AG47" s="22" t="s">
        <v>56</v>
      </c>
      <c r="AH47" s="19" t="s">
        <v>57</v>
      </c>
      <c r="AI47" s="21" t="s">
        <v>58</v>
      </c>
      <c r="AJ47" s="21" t="s">
        <v>59</v>
      </c>
      <c r="AK47" s="22" t="s">
        <v>60</v>
      </c>
      <c r="AL47" s="19" t="s">
        <v>61</v>
      </c>
      <c r="AM47" s="21" t="s">
        <v>62</v>
      </c>
      <c r="AN47" s="21" t="s">
        <v>63</v>
      </c>
      <c r="AO47" s="22" t="s">
        <v>64</v>
      </c>
      <c r="AP47" s="19" t="s">
        <v>65</v>
      </c>
      <c r="AQ47" s="21" t="s">
        <v>57</v>
      </c>
      <c r="AR47" s="21" t="s">
        <v>58</v>
      </c>
      <c r="AS47" s="21" t="s">
        <v>59</v>
      </c>
      <c r="AT47" s="21" t="s">
        <v>60</v>
      </c>
      <c r="AU47" s="21" t="s">
        <v>66</v>
      </c>
      <c r="AV47" s="21" t="s">
        <v>67</v>
      </c>
      <c r="AW47" s="21" t="s">
        <v>68</v>
      </c>
      <c r="AX47" s="21" t="s">
        <v>69</v>
      </c>
      <c r="AY47" s="21" t="s">
        <v>70</v>
      </c>
      <c r="AZ47" s="21" t="s">
        <v>71</v>
      </c>
      <c r="BA47" s="22" t="s">
        <v>72</v>
      </c>
      <c r="BB47" s="19" t="s">
        <v>73</v>
      </c>
      <c r="BC47" s="21" t="s">
        <v>74</v>
      </c>
      <c r="BD47" s="21" t="s">
        <v>75</v>
      </c>
      <c r="BE47" s="22" t="s">
        <v>76</v>
      </c>
      <c r="BF47" s="8"/>
      <c r="BG47" s="8"/>
      <c r="BH47" s="8"/>
    </row>
    <row r="48" spans="2:60">
      <c r="B48" s="180">
        <v>46187.833333333343</v>
      </c>
      <c r="C48" s="182" t="s">
        <v>80</v>
      </c>
      <c r="D48" s="17" t="str">
        <f>+Instructions!F45</f>
        <v>Sweden (SWE)</v>
      </c>
      <c r="E48" s="151">
        <v>1</v>
      </c>
      <c r="F48" s="72" t="str">
        <f>+Instructions!F46</f>
        <v>Tunisia (TUN)</v>
      </c>
      <c r="G48" s="151">
        <v>0</v>
      </c>
      <c r="H48" s="15"/>
      <c r="I48" s="8"/>
      <c r="J48" s="25">
        <f>Q48</f>
        <v>1</v>
      </c>
      <c r="K48" s="73" t="str">
        <f t="array" ref="K48">INDEX(U48:U51,MATCH(S48,$T48:$T51,0))</f>
        <v>NED</v>
      </c>
      <c r="L48" s="27">
        <f t="array" ref="L48">INDEX(V48:V51,MATCH(S48,$T48:$T51,0))</f>
        <v>7</v>
      </c>
      <c r="M48" s="28">
        <f t="array" ref="M48">INDEX(W48:W51,MATCH(S48,$T48:$T51,0))</f>
        <v>4</v>
      </c>
      <c r="N48" s="27">
        <f t="array" ref="N48">INDEX(X48:X51,MATCH(S48,$T48:$T51,0))</f>
        <v>1</v>
      </c>
      <c r="O48" s="29">
        <f t="array" ref="O48">INDEX(Y48:Y51,MATCH(S48,$T48:$T51,0))</f>
        <v>3</v>
      </c>
      <c r="P48" s="8"/>
      <c r="Q48" s="30">
        <v>1</v>
      </c>
      <c r="R48" s="30">
        <f>ROUND(S48,0)</f>
        <v>1</v>
      </c>
      <c r="S48" s="31">
        <f>+SMALL(T48:T51,1)</f>
        <v>0.95000000000000018</v>
      </c>
      <c r="T48" s="32">
        <f>SUM(AL48:AO48)+2.45</f>
        <v>0.95000000000000018</v>
      </c>
      <c r="U48" s="33" t="str">
        <f>+Instructions!E43</f>
        <v>NED</v>
      </c>
      <c r="V48" s="10">
        <f>SUM(Z48:AC48)</f>
        <v>7</v>
      </c>
      <c r="W48" s="34">
        <f>E47+E49+G51</f>
        <v>4</v>
      </c>
      <c r="X48" s="10">
        <f>G47+G49+E51</f>
        <v>1</v>
      </c>
      <c r="Y48" s="35">
        <f>W48-X48</f>
        <v>3</v>
      </c>
      <c r="Z48" s="10" t="s">
        <v>78</v>
      </c>
      <c r="AA48" s="10">
        <f>IF(ISBLANK(E47),0,IF(E47&gt;G47,3,IF(E47=G47,1,0)))</f>
        <v>1</v>
      </c>
      <c r="AB48" s="10">
        <f>IF(ISBLANK(E49),0,IF(E49&gt;G49,3,IF(E49=G49,1,0)))</f>
        <v>3</v>
      </c>
      <c r="AC48" s="10">
        <f>IF(ISBLANK(G51),0,IF(G51&gt;E51,3,IF(G51=E51,1,0)))</f>
        <v>3</v>
      </c>
      <c r="AD48" s="34" t="s">
        <v>78</v>
      </c>
      <c r="AE48" s="10" t="b">
        <f>(10*(Y48-Y49)+W48-W49&gt;0)</f>
        <v>1</v>
      </c>
      <c r="AF48" s="10" t="b">
        <f>10*(Y48-Y50)+W48-W50&gt;0</f>
        <v>1</v>
      </c>
      <c r="AG48" s="35" t="b">
        <f>10*(Y48-Y51)+W48-W51&gt;0</f>
        <v>1</v>
      </c>
      <c r="AH48" s="34">
        <f>10000*(AA48+AB48)+(E49-G49+E47-G47)*100+(E49+E47)</f>
        <v>40102</v>
      </c>
      <c r="AI48" s="10">
        <f>10000*(AA48+AC48)+(E47-G47+G51-E51)*100+(E47+G51)</f>
        <v>40203</v>
      </c>
      <c r="AJ48" s="10">
        <f>10000*(AB48+AC48)+(G51-E51+E49-G49)*100+(G51+E49)</f>
        <v>60303</v>
      </c>
      <c r="AK48" s="35" t="s">
        <v>78</v>
      </c>
      <c r="AL48" s="34" t="s">
        <v>78</v>
      </c>
      <c r="AM48" s="36">
        <f>IF($V48&gt;$V49,-0.5,IF($V49&gt;$V48,0.5,IF(AE48,-0.5,IF(AD49,0.5,BC48))))</f>
        <v>-0.5</v>
      </c>
      <c r="AN48" s="36">
        <f>IF($V48&gt;$V50,-0.5,IF($V50&gt;$V48,0.5,IF(AF48,-0.5,IF(AD50,0.5,BD48))))</f>
        <v>-0.5</v>
      </c>
      <c r="AO48" s="37">
        <f>IF($V48&gt;$V51,-0.5,IF($V51&gt;$V48,0.5,IF(AG48,-0.5,IF(AD51,0.5,BE48))))</f>
        <v>-0.5</v>
      </c>
      <c r="AP48" s="38" t="b">
        <f>AND(AND(V48=V49,V49=V50,V50=V51),AND(W48=W49,W49=W50,W50=W51),AND(X48=X49,X49=X50,X50=X51))</f>
        <v>0</v>
      </c>
      <c r="AQ48" s="38" t="b">
        <f>AND(NOT(AP48),V48=V49,V48=V50,W48=W49,W48=W50,X48=X49,X48=X50)</f>
        <v>0</v>
      </c>
      <c r="AR48" s="38" t="b">
        <f>AND(NOT(AP48),V48=V49,V48=V51,W48=W49,W48=W51,X48=X49,X48=X51)</f>
        <v>0</v>
      </c>
      <c r="AS48" s="38" t="b">
        <f>AND(NOT(AP48),V48=V50,V48=V51,W48=W50,W48=W51,X48=X50,X48=X51)</f>
        <v>0</v>
      </c>
      <c r="AT48" s="38" t="b">
        <f>AND(NOT(AP48),V49=V50,V49=V51,W49=W50,W49=W51,X49=X50,X49=X51)</f>
        <v>0</v>
      </c>
      <c r="AU48" s="38" t="b">
        <f>AND(NOT(AP48),NOT(AQ48),NOT(AR48),V48=V49,W48=W49,X48=X49)</f>
        <v>0</v>
      </c>
      <c r="AV48" s="38" t="b">
        <f>AND(NOT(AP48),NOT(AQ48),NOT(AS48),V48=V50,W48=W50,X48=X50)</f>
        <v>0</v>
      </c>
      <c r="AW48" s="38" t="b">
        <f>AND(NOT(AP48),NOT(AR48),NOT(AS48),V48=V51,W48=W51,X48=X51)</f>
        <v>0</v>
      </c>
      <c r="AX48" s="38" t="b">
        <f>AND(NOT(AP48),NOT(AQ48),NOT(AT48),V49=V50,W49=W50)</f>
        <v>0</v>
      </c>
      <c r="AY48" s="38" t="b">
        <f>AND(NOT(AP48),NOT(AR48),NOT(AT48),V49=V51,W49=W51,X49=X51)</f>
        <v>0</v>
      </c>
      <c r="AZ48" s="38" t="b">
        <f>AND(NOT(AP48),NOT(AS48),NOT(AT48),V50=V51,W50=W51,X50=X51)</f>
        <v>0</v>
      </c>
      <c r="BA48" s="38" t="b">
        <f t="array" ref="BA48">AND(NOT(AP48:AZ48))</f>
        <v>1</v>
      </c>
      <c r="BB48" s="34" t="s">
        <v>78</v>
      </c>
      <c r="BC48" s="10">
        <f>IF($AU48,IF(G47-E47&lt;0,-0.5,IF(E47-G47&lt;0,0.5,0)),IF($AQ48,IF($AH48&gt;$AH49,-0.5,IF($AH48&lt;$AH49,0.5,0)),IF($AR48,IF($AI48&gt;$AI49,-0.5, IF($AI48&lt;$AI49,0.5,0)),0)))</f>
        <v>0</v>
      </c>
      <c r="BD48" s="10">
        <f>IF($AV48,IF(G49-E49&lt;0,-0.5,IF(E49-G49&lt;0,0.5,0)),IF($AQ48,IF($AH48&gt;$AH50,-0.5,IF($AH48&lt;$AH50,0.5,0)),IF($AS48,IF($AJ48&gt;$AJ50,-0.5,IF($AJ48&lt;$AJ50,0.5,0)),0)))</f>
        <v>0</v>
      </c>
      <c r="BE48" s="35">
        <f>IF($AW48,IF(E51-G51&lt;0,-0.5,IF(G51-E51&lt;0,0.5,0)),IF($AR48,IF($AI48&gt;$AI51,-0.5,IF($AI48&lt;$AI51,0.5,0)),IF($AS48,IF($AJ48&gt;$AJ51,-0.5, IF($AJ48&lt;$AJ51,0.5,0)),0)))</f>
        <v>0</v>
      </c>
      <c r="BF48" s="8"/>
      <c r="BG48" s="8"/>
      <c r="BH48" s="8"/>
    </row>
    <row r="49" spans="2:60">
      <c r="B49" s="180">
        <v>46193.458333333343</v>
      </c>
      <c r="C49" s="182" t="s">
        <v>94</v>
      </c>
      <c r="D49" s="17" t="str">
        <f>+Instructions!F43</f>
        <v>Netherlands (NED)</v>
      </c>
      <c r="E49" s="151">
        <v>1</v>
      </c>
      <c r="F49" s="72" t="str">
        <f>+Instructions!F45</f>
        <v>Sweden (SWE)</v>
      </c>
      <c r="G49" s="151">
        <v>0</v>
      </c>
      <c r="H49" s="15"/>
      <c r="I49" s="8"/>
      <c r="J49" s="41">
        <f>Q49</f>
        <v>2</v>
      </c>
      <c r="K49" s="74" t="str">
        <f t="array" ref="K49">INDEX(U48:U51,MATCH(S49,$T48:$T51,0))</f>
        <v>JPN</v>
      </c>
      <c r="L49" s="43">
        <f t="array" ref="L49">INDEX(V48:V51,MATCH(S49,$T48:$T51,0))</f>
        <v>7</v>
      </c>
      <c r="M49" s="44">
        <f t="array" ref="M49">INDEX(W48:W51,MATCH(S49,$T48:$T51,0))</f>
        <v>3</v>
      </c>
      <c r="N49" s="43">
        <f t="array" ref="N49">INDEX(X48:X51,MATCH(S49,$T48:$T51,0))</f>
        <v>1</v>
      </c>
      <c r="O49" s="45">
        <f t="array" ref="O49">INDEX(Y48:Y51,MATCH(S49,$T48:$T51,0))</f>
        <v>2</v>
      </c>
      <c r="P49" s="8"/>
      <c r="Q49" s="30">
        <f>IF(ROUND(S49,0)=ROUND(S48,0),Q48,2)</f>
        <v>2</v>
      </c>
      <c r="R49" s="30">
        <f>ROUND(S49,0)</f>
        <v>2</v>
      </c>
      <c r="S49" s="31">
        <f>+SMALL(T48:T51,2)</f>
        <v>1.96</v>
      </c>
      <c r="T49" s="46">
        <f>SUM(AL49:AO49)+2.46</f>
        <v>1.96</v>
      </c>
      <c r="U49" s="33" t="str">
        <f>+Instructions!E44</f>
        <v>JPN</v>
      </c>
      <c r="V49" s="10">
        <f>SUM(Z49:AC49)</f>
        <v>7</v>
      </c>
      <c r="W49" s="34">
        <f>G47+G50+E52</f>
        <v>3</v>
      </c>
      <c r="X49" s="10">
        <f>E47+E50+G52</f>
        <v>1</v>
      </c>
      <c r="Y49" s="35">
        <f>W49-X49</f>
        <v>2</v>
      </c>
      <c r="Z49" s="10">
        <f>IF(ISBLANK(G47),0,IF(AA48=3,0,IF(AA48=1,1,3)))</f>
        <v>1</v>
      </c>
      <c r="AA49" s="10" t="s">
        <v>78</v>
      </c>
      <c r="AB49" s="10">
        <f>IF(ISBLANK(E52),0,IF(AA50=3,0,IF(AA50=1,1,3)))</f>
        <v>3</v>
      </c>
      <c r="AC49" s="10">
        <f>IF(ISBLANK(G50),0,IF(G50&gt;E50,3,IF(G50=E50,1,0)))</f>
        <v>3</v>
      </c>
      <c r="AD49" s="34" t="b">
        <f>(10*(Y48-Y49)+W48-W49&lt;0)</f>
        <v>0</v>
      </c>
      <c r="AE49" s="10" t="s">
        <v>78</v>
      </c>
      <c r="AF49" s="10" t="b">
        <f>10*(Y49-Y50)+W49-W50&gt;0</f>
        <v>1</v>
      </c>
      <c r="AG49" s="35" t="b">
        <f>10*(Y49-Y51)+W49-W51&gt;0</f>
        <v>1</v>
      </c>
      <c r="AH49" s="34">
        <f>10000*(Z49+AB49)+(G47-E47+E52-G52)*100+(G47+E52)</f>
        <v>40102</v>
      </c>
      <c r="AI49" s="10">
        <f>10000*(Z49+AC49)+(G47-E47+G50-E50)*100+(G47+G50)</f>
        <v>40102</v>
      </c>
      <c r="AJ49" s="10" t="s">
        <v>78</v>
      </c>
      <c r="AK49" s="35">
        <f>10000*(AB49+AC49)+(G50-E50+E52-G52)*100+(G50+E52)</f>
        <v>60202</v>
      </c>
      <c r="AL49" s="47">
        <f>-AM48</f>
        <v>0.5</v>
      </c>
      <c r="AM49" s="10" t="s">
        <v>78</v>
      </c>
      <c r="AN49" s="36">
        <f>IF($V49&gt;$V50,-0.5,IF($V50&gt;$V49,0.5,IF(AF49,-0.5,IF(AE50,0.5,BD49))))</f>
        <v>-0.5</v>
      </c>
      <c r="AO49" s="37">
        <f>IF($V49&gt;$V51,-0.5,IF($V51&gt;$V49,0.5,IF(AG49,-0.5,IF(AE51,0.5,BE49))))</f>
        <v>-0.5</v>
      </c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34"/>
      <c r="BC49" s="10" t="s">
        <v>78</v>
      </c>
      <c r="BD49" s="10">
        <f>IF($AX48,IF(G52-E52&lt;0,-0.5,IF(E52-G52&lt;0,0.5,0)),IF($AQ48,IF($AH49&gt;$AH50,-0.5,IF($AH49&lt;$AH50,0.5,0)),IF($AT48,IF($AK49&gt;$AK50,-0.5,IF($AK49&lt;$AK50,0.5,0)),0)))</f>
        <v>0</v>
      </c>
      <c r="BE49" s="35">
        <f>IF($AY48,IF(E50-G50&lt;0,-0.5,IF(G50-E50&lt;0,0.5,0)),IF($AR48,IF($AI49&gt;$AI51,-0.5,IF($AI49&lt;$AI51,0.5,0)),IF($AT48,IF($AK49&gt;$AK51,-0.5,IF($AK49&lt;$AK51,0.5,0)),0)))</f>
        <v>0</v>
      </c>
      <c r="BF49" s="8"/>
      <c r="BG49" s="8"/>
      <c r="BH49" s="8"/>
    </row>
    <row r="50" spans="2:60">
      <c r="B50" s="180">
        <v>46193.916666666657</v>
      </c>
      <c r="C50" s="182" t="s">
        <v>80</v>
      </c>
      <c r="D50" s="17" t="str">
        <f>+Instructions!F46</f>
        <v>Tunisia (TUN)</v>
      </c>
      <c r="E50" s="151">
        <v>0</v>
      </c>
      <c r="F50" s="72" t="str">
        <f>+Instructions!F44</f>
        <v>Japan (JPN)</v>
      </c>
      <c r="G50" s="151">
        <v>1</v>
      </c>
      <c r="H50" s="15"/>
      <c r="I50" s="8"/>
      <c r="J50" s="41">
        <f>Q50</f>
        <v>3</v>
      </c>
      <c r="K50" s="76" t="str">
        <f t="array" ref="K50">INDEX(U48:U51,MATCH(S50,$T48:$T51,0))</f>
        <v>SWE</v>
      </c>
      <c r="L50" s="54">
        <f t="array" ref="L50">INDEX(V48:V51,MATCH(S50,$T48:$T51,0))</f>
        <v>3</v>
      </c>
      <c r="M50" s="53">
        <f t="array" ref="M50">INDEX(W48:W51,MATCH(S50,$T48:$T51,0))</f>
        <v>1</v>
      </c>
      <c r="N50" s="54">
        <f t="array" ref="N50">INDEX(X48:X51,MATCH(S50,$T48:$T51,0))</f>
        <v>2</v>
      </c>
      <c r="O50" s="52">
        <f t="array" ref="O50">INDEX(Y48:Y51,MATCH(S50,$T48:$T51,0))</f>
        <v>-1</v>
      </c>
      <c r="P50" s="8"/>
      <c r="Q50" s="30">
        <f>IF(ROUND(S50,0)=ROUND(S49,0),Q49,3)</f>
        <v>3</v>
      </c>
      <c r="R50" s="30">
        <f>ROUND(S50,0)</f>
        <v>3</v>
      </c>
      <c r="S50" s="31">
        <f>+SMALL(T48:T51,3)</f>
        <v>2.97</v>
      </c>
      <c r="T50" s="46">
        <f>SUM(AL50:AO50)+2.47</f>
        <v>2.97</v>
      </c>
      <c r="U50" s="33" t="str">
        <f>+Instructions!E45</f>
        <v>SWE</v>
      </c>
      <c r="V50" s="10">
        <f>SUM(Z50:AC50)</f>
        <v>3</v>
      </c>
      <c r="W50" s="34">
        <f>E48+G49+G52</f>
        <v>1</v>
      </c>
      <c r="X50" s="10">
        <f>G48+E49+E52</f>
        <v>2</v>
      </c>
      <c r="Y50" s="35">
        <f>W50-X50</f>
        <v>-1</v>
      </c>
      <c r="Z50" s="10">
        <f>IF(ISBLANK(G49),0,IF(AB48=3,0,IF(AB48=1,1,3)))</f>
        <v>0</v>
      </c>
      <c r="AA50" s="10">
        <f>IF(ISBLANK(G52),0,IF(G52&gt;E52,3,IF(G52=E52,1,0)))</f>
        <v>0</v>
      </c>
      <c r="AB50" s="10" t="s">
        <v>78</v>
      </c>
      <c r="AC50" s="10">
        <f>IF(ISBLANK(E48),0,IF(E48&gt;G48,3,IF(E48=G48,1,0)))</f>
        <v>3</v>
      </c>
      <c r="AD50" s="34" t="b">
        <f>10*(Y48-Y50)+W48-W50&lt;0</f>
        <v>0</v>
      </c>
      <c r="AE50" s="10" t="b">
        <f>10*(Y49-Y50)+W49-W50&lt;0</f>
        <v>0</v>
      </c>
      <c r="AF50" s="10" t="s">
        <v>78</v>
      </c>
      <c r="AG50" s="35" t="b">
        <f>10*(Y50-Y51)+W50-W51&gt;0</f>
        <v>1</v>
      </c>
      <c r="AH50" s="34">
        <f>10000*(Z50+AA50)+(G49-E49+G52-E52)*100+(G49+G52)</f>
        <v>-200</v>
      </c>
      <c r="AI50" s="10" t="s">
        <v>78</v>
      </c>
      <c r="AJ50" s="10">
        <f>10000*(Z50+AC50)+(E48-G48+G49-E49)*100+(E48+G49)</f>
        <v>30001</v>
      </c>
      <c r="AK50" s="35">
        <f>10000*(AA50+AC50)+(E48-G48+G52-E52)*100+(E48+G52)</f>
        <v>30001</v>
      </c>
      <c r="AL50" s="47">
        <f>-AN48</f>
        <v>0.5</v>
      </c>
      <c r="AM50" s="36">
        <f>-AN49</f>
        <v>0.5</v>
      </c>
      <c r="AN50" s="36" t="s">
        <v>78</v>
      </c>
      <c r="AO50" s="37">
        <f>IF($V50&gt;$V51,-0.5,IF($V51&gt;$V50,0.5,IF(AG50,-0.5,IF(AF51,0.5,BE50))))</f>
        <v>-0.5</v>
      </c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34"/>
      <c r="BC50" s="10"/>
      <c r="BD50" s="10" t="s">
        <v>78</v>
      </c>
      <c r="BE50" s="35">
        <f>IF($AZ48,IF(G48-E48&lt;0,-0.5,IF(E48-G48&lt;0,0.5,0)),IF($AS48,IF($AJ50&gt;$AJ51,-0.5,IF($AJ50&lt;$AJ51,0.5,0)),IF($AT48,IF($AK50&gt;$AK51,-0.5,IF($AK50&lt;$AK51,0.5,0)),0)))</f>
        <v>0</v>
      </c>
      <c r="BF50" s="8"/>
      <c r="BG50" s="8"/>
      <c r="BH50" s="8"/>
    </row>
    <row r="51" spans="2:60">
      <c r="B51" s="180">
        <v>46198.708333333343</v>
      </c>
      <c r="C51" s="182" t="s">
        <v>95</v>
      </c>
      <c r="D51" s="17" t="str">
        <f>+Instructions!F46</f>
        <v>Tunisia (TUN)</v>
      </c>
      <c r="E51" s="151">
        <v>0</v>
      </c>
      <c r="F51" s="72" t="str">
        <f>+Instructions!F43</f>
        <v>Netherlands (NED)</v>
      </c>
      <c r="G51" s="151">
        <v>2</v>
      </c>
      <c r="H51" s="15"/>
      <c r="I51" s="8"/>
      <c r="J51" s="55">
        <f>Q51</f>
        <v>4</v>
      </c>
      <c r="K51" s="56" t="str">
        <f t="array" ref="K51">INDEX(U48:U51,MATCH(S51,$T48:$T51,0))</f>
        <v>TUN</v>
      </c>
      <c r="L51" s="57">
        <f t="array" ref="L51">INDEX(V48:V51,MATCH(S51,$T48:$T51,0))</f>
        <v>0</v>
      </c>
      <c r="M51" s="58">
        <f t="array" ref="M51">INDEX(W48:W51,MATCH(S51,$T48:$T51,0))</f>
        <v>0</v>
      </c>
      <c r="N51" s="57">
        <f t="array" ref="N51">INDEX(X48:X51,MATCH(S51,$T48:$T51,0))</f>
        <v>4</v>
      </c>
      <c r="O51" s="59">
        <f t="array" ref="O51">INDEX(Y48:Y51,MATCH(S51,$T48:$T51,0))</f>
        <v>-4</v>
      </c>
      <c r="P51" s="8"/>
      <c r="Q51" s="30">
        <f>IF(ROUND(S51,0)=ROUND(S50,0),Q50,4)</f>
        <v>4</v>
      </c>
      <c r="R51" s="30">
        <f>ROUND(S51,0)</f>
        <v>4</v>
      </c>
      <c r="S51" s="31">
        <f>+SMALL(T48:T51,4)</f>
        <v>3.98</v>
      </c>
      <c r="T51" s="60">
        <f>SUM(AL51:AO51)+2.48</f>
        <v>3.98</v>
      </c>
      <c r="U51" s="61" t="str">
        <f>+Instructions!E46</f>
        <v>TUN</v>
      </c>
      <c r="V51" s="38">
        <f>SUM(Z51:AC51)</f>
        <v>0</v>
      </c>
      <c r="W51" s="62">
        <f>G48+E50+E51</f>
        <v>0</v>
      </c>
      <c r="X51" s="38">
        <f>E48+G50+G51</f>
        <v>4</v>
      </c>
      <c r="Y51" s="63">
        <f>W51-X51</f>
        <v>-4</v>
      </c>
      <c r="Z51" s="38">
        <f>IF(ISBLANK(E51),0,IF(AC48=3,0,IF(AC48=1,1,3)))</f>
        <v>0</v>
      </c>
      <c r="AA51" s="38">
        <f>IF(ISBLANK(E50),0,IF(AC49=3,0,IF(AC49=1,1,3)))</f>
        <v>0</v>
      </c>
      <c r="AB51" s="38">
        <f>IF(ISBLANK(G48),0,IF(AC50=3,0,IF(AC50=1,1,3)))</f>
        <v>0</v>
      </c>
      <c r="AC51" s="38" t="s">
        <v>78</v>
      </c>
      <c r="AD51" s="62" t="b">
        <f>10*(Y48-Y51)+W48-W51&lt;0</f>
        <v>0</v>
      </c>
      <c r="AE51" s="38" t="b">
        <f>10*(Y49-Y51)+W49-W51&lt;0</f>
        <v>0</v>
      </c>
      <c r="AF51" s="38" t="b">
        <f>10*(Y50-Y51)+W50-W51&lt;0</f>
        <v>0</v>
      </c>
      <c r="AG51" s="63" t="s">
        <v>78</v>
      </c>
      <c r="AH51" s="62" t="s">
        <v>78</v>
      </c>
      <c r="AI51" s="38">
        <f>10000*(Z51+AA51)+(E50-G50+E51-G51)*100+(E50+E51)</f>
        <v>-300</v>
      </c>
      <c r="AJ51" s="38">
        <f>10000*(Z51+AB51)+(E51-G51+G48-E48)*100+(E51+G48)</f>
        <v>-300</v>
      </c>
      <c r="AK51" s="63">
        <f>10000*(AA51+AB51)+(E50-G50+G48-E48)*100+(E50+G48)</f>
        <v>-200</v>
      </c>
      <c r="AL51" s="64">
        <f>-AO48</f>
        <v>0.5</v>
      </c>
      <c r="AM51" s="65">
        <f>-AO49</f>
        <v>0.5</v>
      </c>
      <c r="AN51" s="65">
        <f>-AO50</f>
        <v>0.5</v>
      </c>
      <c r="AO51" s="63" t="s">
        <v>78</v>
      </c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62"/>
      <c r="BC51" s="38"/>
      <c r="BD51" s="38"/>
      <c r="BE51" s="63" t="s">
        <v>78</v>
      </c>
      <c r="BF51" s="8"/>
      <c r="BG51" s="8"/>
      <c r="BH51" s="8"/>
    </row>
    <row r="52" spans="2:60">
      <c r="B52" s="183">
        <v>46198.708333333343</v>
      </c>
      <c r="C52" s="184" t="s">
        <v>97</v>
      </c>
      <c r="D52" s="85" t="str">
        <f>+Instructions!F44</f>
        <v>Japan (JPN)</v>
      </c>
      <c r="E52" s="151">
        <v>1</v>
      </c>
      <c r="F52" s="78" t="str">
        <f>+Instructions!F45</f>
        <v>Sweden (SWE)</v>
      </c>
      <c r="G52" s="151">
        <v>0</v>
      </c>
      <c r="H52" s="15"/>
      <c r="I52" s="8"/>
      <c r="J52" s="10"/>
      <c r="K52" s="70" t="str">
        <f>IF(ISBLANK(G52)," ",+IF(OR(J50&lt;3,J49&lt;2),"TIE BREAK! Pick your qualifiers on the Knock-Out Predictions sheet"," "))</f>
        <v xml:space="preserve"> 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2:60">
      <c r="B53" s="11"/>
      <c r="C53" s="12"/>
      <c r="D53" s="8"/>
      <c r="E53" s="13"/>
      <c r="F53" s="14"/>
      <c r="G53" s="13"/>
      <c r="H53" s="15"/>
      <c r="I53" s="8"/>
      <c r="J53" s="1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2:60">
      <c r="B54" s="231" t="s">
        <v>98</v>
      </c>
      <c r="C54" s="232"/>
      <c r="D54" s="232"/>
      <c r="E54" s="232"/>
      <c r="F54" s="232"/>
      <c r="G54" s="233"/>
      <c r="H54" s="15"/>
      <c r="I54" s="8"/>
      <c r="J54" s="1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2:60" ht="17">
      <c r="B55" s="180">
        <v>46188.541666666657</v>
      </c>
      <c r="C55" s="181" t="s">
        <v>86</v>
      </c>
      <c r="D55" s="17" t="str">
        <f>+Instructions!H13</f>
        <v>Belgium (BEL)</v>
      </c>
      <c r="E55" s="150">
        <v>1</v>
      </c>
      <c r="F55" s="83" t="str">
        <f>+Instructions!H14</f>
        <v>Egypt (EGY)</v>
      </c>
      <c r="G55" s="150">
        <v>0</v>
      </c>
      <c r="H55" s="15"/>
      <c r="I55" s="8"/>
      <c r="J55" s="10"/>
      <c r="K55" s="178" t="s">
        <v>98</v>
      </c>
      <c r="L55" s="179" t="s">
        <v>42</v>
      </c>
      <c r="M55" s="206" t="s">
        <v>43</v>
      </c>
      <c r="N55" s="207" t="s">
        <v>368</v>
      </c>
      <c r="O55" s="207" t="s">
        <v>369</v>
      </c>
      <c r="P55" s="8"/>
      <c r="Q55" s="8"/>
      <c r="R55" s="8"/>
      <c r="S55" s="8"/>
      <c r="T55" s="19" t="s">
        <v>46</v>
      </c>
      <c r="U55" s="20" t="s">
        <v>47</v>
      </c>
      <c r="V55" s="21" t="s">
        <v>42</v>
      </c>
      <c r="W55" s="19" t="s">
        <v>43</v>
      </c>
      <c r="X55" s="21" t="s">
        <v>44</v>
      </c>
      <c r="Y55" s="22" t="s">
        <v>48</v>
      </c>
      <c r="Z55" s="21" t="s">
        <v>49</v>
      </c>
      <c r="AA55" s="21" t="s">
        <v>50</v>
      </c>
      <c r="AB55" s="21" t="s">
        <v>51</v>
      </c>
      <c r="AC55" s="21" t="s">
        <v>52</v>
      </c>
      <c r="AD55" s="19" t="s">
        <v>53</v>
      </c>
      <c r="AE55" s="21" t="s">
        <v>54</v>
      </c>
      <c r="AF55" s="21" t="s">
        <v>55</v>
      </c>
      <c r="AG55" s="22" t="s">
        <v>56</v>
      </c>
      <c r="AH55" s="19" t="s">
        <v>57</v>
      </c>
      <c r="AI55" s="21" t="s">
        <v>58</v>
      </c>
      <c r="AJ55" s="21" t="s">
        <v>59</v>
      </c>
      <c r="AK55" s="22" t="s">
        <v>60</v>
      </c>
      <c r="AL55" s="19" t="s">
        <v>61</v>
      </c>
      <c r="AM55" s="21" t="s">
        <v>62</v>
      </c>
      <c r="AN55" s="21" t="s">
        <v>63</v>
      </c>
      <c r="AO55" s="22" t="s">
        <v>64</v>
      </c>
      <c r="AP55" s="19" t="s">
        <v>65</v>
      </c>
      <c r="AQ55" s="21" t="s">
        <v>57</v>
      </c>
      <c r="AR55" s="21" t="s">
        <v>58</v>
      </c>
      <c r="AS55" s="21" t="s">
        <v>59</v>
      </c>
      <c r="AT55" s="21" t="s">
        <v>60</v>
      </c>
      <c r="AU55" s="21" t="s">
        <v>66</v>
      </c>
      <c r="AV55" s="21" t="s">
        <v>67</v>
      </c>
      <c r="AW55" s="21" t="s">
        <v>68</v>
      </c>
      <c r="AX55" s="21" t="s">
        <v>69</v>
      </c>
      <c r="AY55" s="21" t="s">
        <v>70</v>
      </c>
      <c r="AZ55" s="21" t="s">
        <v>71</v>
      </c>
      <c r="BA55" s="22" t="s">
        <v>72</v>
      </c>
      <c r="BB55" s="19" t="s">
        <v>73</v>
      </c>
      <c r="BC55" s="21" t="s">
        <v>74</v>
      </c>
      <c r="BD55" s="21" t="s">
        <v>75</v>
      </c>
      <c r="BE55" s="22" t="s">
        <v>76</v>
      </c>
      <c r="BF55" s="8"/>
      <c r="BG55" s="8"/>
      <c r="BH55" s="8"/>
    </row>
    <row r="56" spans="2:60">
      <c r="B56" s="180">
        <v>46188.791666666657</v>
      </c>
      <c r="C56" s="182" t="s">
        <v>85</v>
      </c>
      <c r="D56" s="17" t="str">
        <f>+Instructions!H15</f>
        <v>Iran (IRN)</v>
      </c>
      <c r="E56" s="151">
        <v>0</v>
      </c>
      <c r="F56" s="72" t="str">
        <f>+Instructions!H16</f>
        <v>New Zealand (NZL)</v>
      </c>
      <c r="G56" s="151">
        <v>0</v>
      </c>
      <c r="H56" s="15"/>
      <c r="I56" s="8"/>
      <c r="J56" s="25">
        <f>Q56</f>
        <v>1</v>
      </c>
      <c r="K56" s="73" t="str">
        <f t="array" ref="K56">INDEX(U56:U59,MATCH(S56,$T56:$T59,0))</f>
        <v>BEL</v>
      </c>
      <c r="L56" s="27">
        <f t="array" ref="L56">INDEX(V56:V59,MATCH(S56,$T56:$T59,0))</f>
        <v>9</v>
      </c>
      <c r="M56" s="28">
        <f t="array" ref="M56">INDEX(W56:W59,MATCH(S56,$T56:$T59,0))</f>
        <v>4</v>
      </c>
      <c r="N56" s="27">
        <f t="array" ref="N56">INDEX(X56:X59,MATCH(S56,$T56:$T59,0))</f>
        <v>0</v>
      </c>
      <c r="O56" s="29">
        <f t="array" ref="O56">INDEX(Y56:Y59,MATCH(S56,$T56:$T59,0))</f>
        <v>4</v>
      </c>
      <c r="P56" s="8"/>
      <c r="Q56" s="30">
        <v>1</v>
      </c>
      <c r="R56" s="30">
        <f>ROUND(S56,0)</f>
        <v>1</v>
      </c>
      <c r="S56" s="31">
        <f>+SMALL(T56:T59,1)</f>
        <v>0.95000000000000018</v>
      </c>
      <c r="T56" s="32">
        <f>SUM(AL56:AO56)+2.45</f>
        <v>0.95000000000000018</v>
      </c>
      <c r="U56" s="33" t="str">
        <f>+Instructions!I13</f>
        <v>BEL</v>
      </c>
      <c r="V56" s="10">
        <f>SUM(Z56:AC56)</f>
        <v>9</v>
      </c>
      <c r="W56" s="34">
        <f>E55+E57+G59</f>
        <v>4</v>
      </c>
      <c r="X56" s="10">
        <f>G55+G57+E59</f>
        <v>0</v>
      </c>
      <c r="Y56" s="35">
        <f>W56-X56</f>
        <v>4</v>
      </c>
      <c r="Z56" s="10" t="s">
        <v>78</v>
      </c>
      <c r="AA56" s="10">
        <f>IF(ISBLANK(E55),0,IF(E55&gt;G55,3,IF(E55=G55,1,0)))</f>
        <v>3</v>
      </c>
      <c r="AB56" s="10">
        <f>IF(ISBLANK(E57),0,IF(E57&gt;G57,3,IF(E57=G57,1,0)))</f>
        <v>3</v>
      </c>
      <c r="AC56" s="10">
        <f>IF(ISBLANK(G59),0,IF(G59&gt;E59,3,IF(G59=E59,1,0)))</f>
        <v>3</v>
      </c>
      <c r="AD56" s="34" t="s">
        <v>78</v>
      </c>
      <c r="AE56" s="10" t="b">
        <f>(10*(Y56-Y57)+W56-W57&gt;0)</f>
        <v>1</v>
      </c>
      <c r="AF56" s="10" t="b">
        <f>10*(Y56-Y58)+W56-W58&gt;0</f>
        <v>1</v>
      </c>
      <c r="AG56" s="35" t="b">
        <f>10*(Y56-Y59)+W56-W59&gt;0</f>
        <v>1</v>
      </c>
      <c r="AH56" s="34">
        <f>10000*(AA56+AB56)+(E57-G57+E55-G55)*100+(E57+E55)</f>
        <v>60202</v>
      </c>
      <c r="AI56" s="10">
        <f>10000*(AA56+AC56)+(E55-G55+G59-E59)*100+(E55+G59)</f>
        <v>60303</v>
      </c>
      <c r="AJ56" s="10">
        <f>10000*(AB56+AC56)+(G59-E59+E57-G57)*100+(G59+E57)</f>
        <v>60303</v>
      </c>
      <c r="AK56" s="35" t="s">
        <v>78</v>
      </c>
      <c r="AL56" s="34" t="s">
        <v>78</v>
      </c>
      <c r="AM56" s="36">
        <f>IF($V56&gt;$V57,-0.5,IF($V57&gt;$V56,0.5,IF(AE56,-0.5,IF(AD57,0.5,BC56))))</f>
        <v>-0.5</v>
      </c>
      <c r="AN56" s="36">
        <f>IF($V56&gt;$V58,-0.5,IF($V58&gt;$V56,0.5,IF(AF56,-0.5,IF(AD58,0.5,BD56))))</f>
        <v>-0.5</v>
      </c>
      <c r="AO56" s="37">
        <f>IF($V56&gt;$V59,-0.5,IF($V59&gt;$V56,0.5,IF(AG56,-0.5,IF(AD59,0.5,BE56))))</f>
        <v>-0.5</v>
      </c>
      <c r="AP56" s="38" t="b">
        <f>AND(AND(V56=V57,V57=V58,V58=V59),AND(W56=W57,W57=W58,W58=W59),AND(X56=X57,X57=X58,X58=X59))</f>
        <v>0</v>
      </c>
      <c r="AQ56" s="38" t="b">
        <f>AND(NOT(AP56),V56=V57,V56=V58,W56=W57,W56=W58,X56=X57,X56=X58)</f>
        <v>0</v>
      </c>
      <c r="AR56" s="38" t="b">
        <f>AND(NOT(AP56),V56=V57,V56=V59,W56=W57,W56=W59,X56=X57,X56=X59)</f>
        <v>0</v>
      </c>
      <c r="AS56" s="38" t="b">
        <f>AND(NOT(AP56),V56=V58,V56=V59,W56=W58,W56=W59,X56=X58,X56=X59)</f>
        <v>0</v>
      </c>
      <c r="AT56" s="38" t="b">
        <f>AND(NOT(AP56),V57=V58,V57=V59,W57=W58,W57=W59,X57=X58,X57=X59)</f>
        <v>0</v>
      </c>
      <c r="AU56" s="38" t="b">
        <f>AND(NOT(AP56),NOT(AQ56),NOT(AR56),V56=V57,W56=W57,X56=X57)</f>
        <v>0</v>
      </c>
      <c r="AV56" s="38" t="b">
        <f>AND(NOT(AP56),NOT(AQ56),NOT(AS56),V56=V58,W56=W58,X56=X58)</f>
        <v>0</v>
      </c>
      <c r="AW56" s="38" t="b">
        <f>AND(NOT(AP56),NOT(AR56),NOT(AS56),V56=V59,W56=W59,X56=X59)</f>
        <v>0</v>
      </c>
      <c r="AX56" s="38" t="b">
        <f>AND(NOT(AP56),NOT(AQ56),NOT(AT56),V57=V58,W57=W58)</f>
        <v>0</v>
      </c>
      <c r="AY56" s="38" t="b">
        <f>AND(NOT(AP56),NOT(AR56),NOT(AT56),V57=V59,W57=W59,X57=X59)</f>
        <v>0</v>
      </c>
      <c r="AZ56" s="38" t="b">
        <f>AND(NOT(AP56),NOT(AS56),NOT(AT56),V58=V59,W58=W59,X58=X59)</f>
        <v>0</v>
      </c>
      <c r="BA56" s="38" t="b">
        <f t="array" ref="BA56">AND(NOT(AP56:AZ56))</f>
        <v>1</v>
      </c>
      <c r="BB56" s="34" t="s">
        <v>78</v>
      </c>
      <c r="BC56" s="10">
        <f>IF($AU56,IF(G55-E55&lt;0,-0.5,IF(E55-G55&lt;0,0.5,0)),IF($AQ56,IF($AH56&gt;$AH57,-0.5,IF($AH56&lt;$AH57,0.5,0)),IF($AR56,IF($AI56&gt;$AI57,-0.5, IF($AI56&lt;$AI57,0.5,0)),0)))</f>
        <v>0</v>
      </c>
      <c r="BD56" s="10">
        <f>IF($AV56,IF(G57-E57&lt;0,-0.5,IF(E57-G57&lt;0,0.5,0)),IF($AQ56,IF($AH56&gt;$AH58,-0.5,IF($AH56&lt;$AH58,0.5,0)),IF($AS56,IF($AJ56&gt;$AJ58,-0.5,IF($AJ56&lt;$AJ58,0.5,0)),0)))</f>
        <v>0</v>
      </c>
      <c r="BE56" s="35">
        <f>IF($AW56,IF(E59-G59&lt;0,-0.5,IF(G59-E59&lt;0,0.5,0)),IF($AR56,IF($AI56&gt;$AI59,-0.5,IF($AI56&lt;$AI59,0.5,0)),IF($AS56,IF($AJ56&gt;$AJ59,-0.5, IF($AJ56&lt;$AJ59,0.5,0)),0)))</f>
        <v>0</v>
      </c>
      <c r="BF56" s="8"/>
      <c r="BG56" s="8"/>
      <c r="BH56" s="8"/>
    </row>
    <row r="57" spans="2:60">
      <c r="B57" s="180">
        <v>46194.541666666657</v>
      </c>
      <c r="C57" s="182" t="s">
        <v>85</v>
      </c>
      <c r="D57" s="17" t="str">
        <f>+Instructions!H13</f>
        <v>Belgium (BEL)</v>
      </c>
      <c r="E57" s="151">
        <v>1</v>
      </c>
      <c r="F57" s="72" t="str">
        <f>+Instructions!H15</f>
        <v>Iran (IRN)</v>
      </c>
      <c r="G57" s="151">
        <v>0</v>
      </c>
      <c r="H57" s="15"/>
      <c r="I57" s="8"/>
      <c r="J57" s="41">
        <f>Q57</f>
        <v>2</v>
      </c>
      <c r="K57" s="74" t="str">
        <f t="array" ref="K57">INDEX(U56:U59,MATCH(S57,$T56:$T59,0))</f>
        <v>EGY</v>
      </c>
      <c r="L57" s="43">
        <f t="array" ref="L57">INDEX(V56:V59,MATCH(S57,$T56:$T59,0))</f>
        <v>6</v>
      </c>
      <c r="M57" s="44">
        <f t="array" ref="M57">INDEX(W56:W59,MATCH(S57,$T56:$T59,0))</f>
        <v>2</v>
      </c>
      <c r="N57" s="43">
        <f t="array" ref="N57">INDEX(X56:X59,MATCH(S57,$T56:$T59,0))</f>
        <v>1</v>
      </c>
      <c r="O57" s="45">
        <f t="array" ref="O57">INDEX(Y56:Y59,MATCH(S57,$T56:$T59,0))</f>
        <v>1</v>
      </c>
      <c r="P57" s="8"/>
      <c r="Q57" s="30">
        <f>IF(ROUND(S57,0)=ROUND(S56,0),Q56,2)</f>
        <v>2</v>
      </c>
      <c r="R57" s="30">
        <f>ROUND(S57,0)</f>
        <v>2</v>
      </c>
      <c r="S57" s="31">
        <f>+SMALL(T56:T59,2)</f>
        <v>1.96</v>
      </c>
      <c r="T57" s="46">
        <f>SUM(AL57:AO57)+2.46</f>
        <v>1.96</v>
      </c>
      <c r="U57" s="33" t="str">
        <f>+Instructions!I14</f>
        <v>EGY</v>
      </c>
      <c r="V57" s="10">
        <f>SUM(Z57:AC57)</f>
        <v>6</v>
      </c>
      <c r="W57" s="34">
        <f>G55+G58+E60</f>
        <v>2</v>
      </c>
      <c r="X57" s="10">
        <f>E55+E58+G60</f>
        <v>1</v>
      </c>
      <c r="Y57" s="35">
        <f>W57-X57</f>
        <v>1</v>
      </c>
      <c r="Z57" s="10">
        <f>IF(ISBLANK(G55),0,IF(AA56=3,0,IF(AA56=1,1,3)))</f>
        <v>0</v>
      </c>
      <c r="AA57" s="10" t="s">
        <v>78</v>
      </c>
      <c r="AB57" s="10">
        <f>IF(ISBLANK(E60),0,IF(AA58=3,0,IF(AA58=1,1,3)))</f>
        <v>3</v>
      </c>
      <c r="AC57" s="10">
        <f>IF(ISBLANK(G58),0,IF(G58&gt;E58,3,IF(G58=E58,1,0)))</f>
        <v>3</v>
      </c>
      <c r="AD57" s="34" t="b">
        <f>(10*(Y56-Y57)+W56-W57&lt;0)</f>
        <v>0</v>
      </c>
      <c r="AE57" s="10" t="s">
        <v>78</v>
      </c>
      <c r="AF57" s="10" t="b">
        <f>10*(Y57-Y58)+W57-W58&gt;0</f>
        <v>1</v>
      </c>
      <c r="AG57" s="35" t="b">
        <f>10*(Y57-Y59)+W57-W59&gt;0</f>
        <v>1</v>
      </c>
      <c r="AH57" s="34">
        <f>10000*(Z57+AB57)+(G55-E55+E60-G60)*100+(G55+E60)</f>
        <v>30001</v>
      </c>
      <c r="AI57" s="10">
        <f>10000*(Z57+AC57)+(G55-E55+G58-E58)*100+(G55+G58)</f>
        <v>30001</v>
      </c>
      <c r="AJ57" s="10" t="s">
        <v>78</v>
      </c>
      <c r="AK57" s="35">
        <f>10000*(AB57+AC57)+(G58-E58+E60-G60)*100+(G58+E60)</f>
        <v>60202</v>
      </c>
      <c r="AL57" s="47">
        <f>-AM56</f>
        <v>0.5</v>
      </c>
      <c r="AM57" s="10" t="s">
        <v>78</v>
      </c>
      <c r="AN57" s="36">
        <f>IF($V57&gt;$V58,-0.5,IF($V58&gt;$V57,0.5,IF(AF57,-0.5,IF(AE58,0.5,BD57))))</f>
        <v>-0.5</v>
      </c>
      <c r="AO57" s="37">
        <f>IF($V57&gt;$V59,-0.5,IF($V59&gt;$V57,0.5,IF(AG57,-0.5,IF(AE59,0.5,BE57))))</f>
        <v>-0.5</v>
      </c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34"/>
      <c r="BC57" s="10" t="s">
        <v>78</v>
      </c>
      <c r="BD57" s="10">
        <f>IF($AX56,IF(G60-E60&lt;0,-0.5,IF(E60-G60&lt;0,0.5,0)),IF($AQ56,IF($AH57&gt;$AH58,-0.5,IF($AH57&lt;$AH58,0.5,0)),IF($AT56,IF($AK57&gt;$AK58,-0.5,IF($AK57&lt;$AK58,0.5,0)),0)))</f>
        <v>0</v>
      </c>
      <c r="BE57" s="35">
        <f>IF($AY56,IF(E58-G58&lt;0,-0.5,IF(G58-E58&lt;0,0.5,0)),IF($AR56,IF($AI57&gt;$AI59,-0.5,IF($AI57&lt;$AI59,0.5,0)),IF($AT56,IF($AK57&gt;$AK59,-0.5,IF($AK57&lt;$AK59,0.5,0)),0)))</f>
        <v>0</v>
      </c>
      <c r="BF57" s="8"/>
      <c r="BG57" s="8"/>
      <c r="BH57" s="8"/>
    </row>
    <row r="58" spans="2:60">
      <c r="B58" s="180">
        <v>46194.791666666657</v>
      </c>
      <c r="C58" s="182" t="s">
        <v>84</v>
      </c>
      <c r="D58" s="17" t="str">
        <f>+Instructions!H16</f>
        <v>New Zealand (NZL)</v>
      </c>
      <c r="E58" s="151">
        <v>0</v>
      </c>
      <c r="F58" s="84" t="str">
        <f>+Instructions!H14</f>
        <v>Egypt (EGY)</v>
      </c>
      <c r="G58" s="151">
        <v>1</v>
      </c>
      <c r="H58" s="15"/>
      <c r="I58" s="8"/>
      <c r="J58" s="41">
        <f>Q58</f>
        <v>3</v>
      </c>
      <c r="K58" s="76" t="str">
        <f t="array" ref="K58">INDEX(U56:U59,MATCH(S58,$T56:$T59,0))</f>
        <v>IRN</v>
      </c>
      <c r="L58" s="54">
        <f t="array" ref="L58">INDEX(V56:V59,MATCH(S58,$T56:$T59,0))</f>
        <v>1</v>
      </c>
      <c r="M58" s="53">
        <f t="array" ref="M58">INDEX(W56:W59,MATCH(S58,$T56:$T59,0))</f>
        <v>0</v>
      </c>
      <c r="N58" s="54">
        <f t="array" ref="N58">INDEX(X56:X59,MATCH(S58,$T56:$T59,0))</f>
        <v>2</v>
      </c>
      <c r="O58" s="52">
        <f t="array" ref="O58">INDEX(Y56:Y59,MATCH(S58,$T56:$T59,0))</f>
        <v>-2</v>
      </c>
      <c r="P58" s="8"/>
      <c r="Q58" s="30">
        <f>IF(ROUND(S58,0)=ROUND(S57,0),Q57,3)</f>
        <v>3</v>
      </c>
      <c r="R58" s="30">
        <f>ROUND(S58,0)</f>
        <v>3</v>
      </c>
      <c r="S58" s="31">
        <f>+SMALL(T56:T59,3)</f>
        <v>2.97</v>
      </c>
      <c r="T58" s="46">
        <f>SUM(AL58:AO58)+2.47</f>
        <v>2.97</v>
      </c>
      <c r="U58" s="33" t="str">
        <f>+Instructions!I15</f>
        <v>IRN</v>
      </c>
      <c r="V58" s="10">
        <f>SUM(Z58:AC58)</f>
        <v>1</v>
      </c>
      <c r="W58" s="34">
        <f>E56+G57+G60</f>
        <v>0</v>
      </c>
      <c r="X58" s="10">
        <f>G56+E57+E60</f>
        <v>2</v>
      </c>
      <c r="Y58" s="35">
        <f>W58-X58</f>
        <v>-2</v>
      </c>
      <c r="Z58" s="10">
        <f>IF(ISBLANK(G57),0,IF(AB56=3,0,IF(AB56=1,1,3)))</f>
        <v>0</v>
      </c>
      <c r="AA58" s="10">
        <f>IF(ISBLANK(G60),0,IF(G60&gt;E60,3,IF(G60=E60,1,0)))</f>
        <v>0</v>
      </c>
      <c r="AB58" s="10" t="s">
        <v>78</v>
      </c>
      <c r="AC58" s="10">
        <f>IF(ISBLANK(E56),0,IF(E56&gt;G56,3,IF(E56=G56,1,0)))</f>
        <v>1</v>
      </c>
      <c r="AD58" s="34" t="b">
        <f>10*(Y56-Y58)+W56-W58&lt;0</f>
        <v>0</v>
      </c>
      <c r="AE58" s="10" t="b">
        <f>10*(Y57-Y58)+W57-W58&lt;0</f>
        <v>0</v>
      </c>
      <c r="AF58" s="10" t="s">
        <v>78</v>
      </c>
      <c r="AG58" s="35" t="b">
        <f>10*(Y58-Y59)+W58-W59&gt;0</f>
        <v>1</v>
      </c>
      <c r="AH58" s="34">
        <f>10000*(Z58+AA58)+(G57-E57+G60-E60)*100+(G57+G60)</f>
        <v>-200</v>
      </c>
      <c r="AI58" s="10" t="s">
        <v>78</v>
      </c>
      <c r="AJ58" s="10">
        <f>10000*(Z58+AC58)+(E56-G56+G57-E57)*100+(E56+G57)</f>
        <v>9900</v>
      </c>
      <c r="AK58" s="35">
        <f>10000*(AA58+AC58)+(E56-G56+G60-E60)*100+(E56+G60)</f>
        <v>9900</v>
      </c>
      <c r="AL58" s="47">
        <f>-AN56</f>
        <v>0.5</v>
      </c>
      <c r="AM58" s="36">
        <f>-AN57</f>
        <v>0.5</v>
      </c>
      <c r="AN58" s="36" t="s">
        <v>78</v>
      </c>
      <c r="AO58" s="37">
        <f>IF($V58&gt;$V59,-0.5,IF($V59&gt;$V58,0.5,IF(AG58,-0.5,IF(AF59,0.5,BE58))))</f>
        <v>-0.5</v>
      </c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34"/>
      <c r="BC58" s="10"/>
      <c r="BD58" s="10" t="s">
        <v>78</v>
      </c>
      <c r="BE58" s="35">
        <f>IF($AZ56,IF(G56-E56&lt;0,-0.5,IF(E56-G56&lt;0,0.5,0)),IF($AS56,IF($AJ58&gt;$AJ59,-0.5,IF($AJ58&lt;$AJ59,0.5,0)),IF($AT56,IF($AK58&gt;$AK59,-0.5,IF($AK58&lt;$AK59,0.5,0)),0)))</f>
        <v>0</v>
      </c>
      <c r="BF58" s="8"/>
      <c r="BG58" s="8"/>
      <c r="BH58" s="8"/>
    </row>
    <row r="59" spans="2:60">
      <c r="B59" s="180">
        <v>46199.875</v>
      </c>
      <c r="C59" s="182" t="s">
        <v>84</v>
      </c>
      <c r="D59" s="17" t="str">
        <f>+Instructions!H16</f>
        <v>New Zealand (NZL)</v>
      </c>
      <c r="E59" s="151">
        <v>0</v>
      </c>
      <c r="F59" s="72" t="str">
        <f>+Instructions!H13</f>
        <v>Belgium (BEL)</v>
      </c>
      <c r="G59" s="151">
        <v>2</v>
      </c>
      <c r="H59" s="15"/>
      <c r="I59" s="8"/>
      <c r="J59" s="55">
        <f>Q59</f>
        <v>4</v>
      </c>
      <c r="K59" s="56" t="str">
        <f t="array" ref="K59">INDEX(U56:U59,MATCH(S59,$T56:$T59,0))</f>
        <v>NZL</v>
      </c>
      <c r="L59" s="57">
        <f t="array" ref="L59">INDEX(V56:V59,MATCH(S59,$T56:$T59,0))</f>
        <v>1</v>
      </c>
      <c r="M59" s="58">
        <f t="array" ref="M59">INDEX(W56:W59,MATCH(S59,$T56:$T59,0))</f>
        <v>0</v>
      </c>
      <c r="N59" s="57">
        <f t="array" ref="N59">INDEX(X56:X59,MATCH(S59,$T56:$T59,0))</f>
        <v>3</v>
      </c>
      <c r="O59" s="59">
        <f t="array" ref="O59">INDEX(Y56:Y59,MATCH(S59,$T56:$T59,0))</f>
        <v>-3</v>
      </c>
      <c r="P59" s="8"/>
      <c r="Q59" s="30">
        <f>IF(ROUND(S59,0)=ROUND(S58,0),Q58,4)</f>
        <v>4</v>
      </c>
      <c r="R59" s="30">
        <f>ROUND(S59,0)</f>
        <v>4</v>
      </c>
      <c r="S59" s="31">
        <f>+SMALL(T56:T59,4)</f>
        <v>3.98</v>
      </c>
      <c r="T59" s="60">
        <f>SUM(AL59:AO59)+2.48</f>
        <v>3.98</v>
      </c>
      <c r="U59" s="61" t="str">
        <f>+Instructions!I16</f>
        <v>NZL</v>
      </c>
      <c r="V59" s="38">
        <f>SUM(Z59:AC59)</f>
        <v>1</v>
      </c>
      <c r="W59" s="62">
        <f>G56+E58+E59</f>
        <v>0</v>
      </c>
      <c r="X59" s="38">
        <f>E56+G58+G59</f>
        <v>3</v>
      </c>
      <c r="Y59" s="63">
        <f>W59-X59</f>
        <v>-3</v>
      </c>
      <c r="Z59" s="38">
        <f>IF(ISBLANK(E59),0,IF(AC56=3,0,IF(AC56=1,1,3)))</f>
        <v>0</v>
      </c>
      <c r="AA59" s="38">
        <f>IF(ISBLANK(E58),0,IF(AC57=3,0,IF(AC57=1,1,3)))</f>
        <v>0</v>
      </c>
      <c r="AB59" s="38">
        <f>IF(ISBLANK(G56),0,IF(AC58=3,0,IF(AC58=1,1,3)))</f>
        <v>1</v>
      </c>
      <c r="AC59" s="38" t="s">
        <v>78</v>
      </c>
      <c r="AD59" s="62" t="b">
        <f>10*(Y56-Y59)+W56-W59&lt;0</f>
        <v>0</v>
      </c>
      <c r="AE59" s="38" t="b">
        <f>10*(Y57-Y59)+W57-W59&lt;0</f>
        <v>0</v>
      </c>
      <c r="AF59" s="38" t="b">
        <f>10*(Y58-Y59)+W58-W59&lt;0</f>
        <v>0</v>
      </c>
      <c r="AG59" s="63" t="s">
        <v>78</v>
      </c>
      <c r="AH59" s="62" t="s">
        <v>78</v>
      </c>
      <c r="AI59" s="38">
        <f>10000*(Z59+AA59)+(E58-G58+E59-G59)*100+(E58+E59)</f>
        <v>-300</v>
      </c>
      <c r="AJ59" s="38">
        <f>10000*(Z59+AB59)+(E59-G59+G56-E56)*100+(E59+G56)</f>
        <v>9800</v>
      </c>
      <c r="AK59" s="63">
        <f>10000*(AA59+AB59)+(E58-G58+G56-E56)*100+(E58+G56)</f>
        <v>9900</v>
      </c>
      <c r="AL59" s="64">
        <f>-AO56</f>
        <v>0.5</v>
      </c>
      <c r="AM59" s="65">
        <f>-AO57</f>
        <v>0.5</v>
      </c>
      <c r="AN59" s="65">
        <f>-AO58</f>
        <v>0.5</v>
      </c>
      <c r="AO59" s="63" t="s">
        <v>78</v>
      </c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62"/>
      <c r="BC59" s="38"/>
      <c r="BD59" s="38"/>
      <c r="BE59" s="63" t="s">
        <v>78</v>
      </c>
      <c r="BF59" s="8"/>
      <c r="BG59" s="8"/>
      <c r="BH59" s="8"/>
    </row>
    <row r="60" spans="2:60">
      <c r="B60" s="183">
        <v>46199.875</v>
      </c>
      <c r="C60" s="184" t="s">
        <v>86</v>
      </c>
      <c r="D60" s="68" t="str">
        <f>+Instructions!H14</f>
        <v>Egypt (EGY)</v>
      </c>
      <c r="E60" s="151">
        <v>1</v>
      </c>
      <c r="F60" s="78" t="str">
        <f>+Instructions!H15</f>
        <v>Iran (IRN)</v>
      </c>
      <c r="G60" s="151">
        <v>0</v>
      </c>
      <c r="H60" s="15"/>
      <c r="I60" s="8"/>
      <c r="J60" s="10"/>
      <c r="K60" s="70" t="str">
        <f>IF(ISBLANK(G60)," ",+IF(OR(J58&lt;3,J57&lt;2),"TIE BREAK! Pick your qualifiers on the Knock-Out Predictions sheet"," "))</f>
        <v xml:space="preserve"> 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2:60">
      <c r="B61" s="11"/>
      <c r="C61" s="12"/>
      <c r="D61" s="8"/>
      <c r="E61" s="13"/>
      <c r="F61" s="14"/>
      <c r="G61" s="13"/>
      <c r="H61" s="15"/>
      <c r="I61" s="8"/>
      <c r="J61" s="10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2:60">
      <c r="B62" s="231" t="s">
        <v>99</v>
      </c>
      <c r="C62" s="232"/>
      <c r="D62" s="232"/>
      <c r="E62" s="232"/>
      <c r="F62" s="232"/>
      <c r="G62" s="233"/>
      <c r="H62" s="15"/>
      <c r="I62" s="8"/>
      <c r="J62" s="10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2:60" ht="17">
      <c r="B63" s="180">
        <v>46188.416666666657</v>
      </c>
      <c r="C63" s="181" t="s">
        <v>79</v>
      </c>
      <c r="D63" s="17" t="str">
        <f>+Instructions!H19</f>
        <v>Spain (ESP)</v>
      </c>
      <c r="E63" s="150">
        <v>5</v>
      </c>
      <c r="F63" s="83" t="str">
        <f>+Instructions!H20</f>
        <v>Cape Verde (CPV)</v>
      </c>
      <c r="G63" s="150">
        <v>0</v>
      </c>
      <c r="H63" s="246"/>
      <c r="I63" s="8"/>
      <c r="J63" s="10"/>
      <c r="K63" s="178" t="s">
        <v>99</v>
      </c>
      <c r="L63" s="179" t="s">
        <v>42</v>
      </c>
      <c r="M63" s="206" t="s">
        <v>43</v>
      </c>
      <c r="N63" s="207" t="s">
        <v>368</v>
      </c>
      <c r="O63" s="207" t="s">
        <v>369</v>
      </c>
      <c r="P63" s="8"/>
      <c r="Q63" s="8"/>
      <c r="R63" s="8"/>
      <c r="S63" s="8"/>
      <c r="T63" s="19" t="s">
        <v>46</v>
      </c>
      <c r="U63" s="20" t="s">
        <v>47</v>
      </c>
      <c r="V63" s="21" t="s">
        <v>42</v>
      </c>
      <c r="W63" s="19" t="s">
        <v>43</v>
      </c>
      <c r="X63" s="21" t="s">
        <v>44</v>
      </c>
      <c r="Y63" s="22" t="s">
        <v>48</v>
      </c>
      <c r="Z63" s="21" t="s">
        <v>49</v>
      </c>
      <c r="AA63" s="21" t="s">
        <v>50</v>
      </c>
      <c r="AB63" s="21" t="s">
        <v>51</v>
      </c>
      <c r="AC63" s="21" t="s">
        <v>52</v>
      </c>
      <c r="AD63" s="19" t="s">
        <v>53</v>
      </c>
      <c r="AE63" s="21" t="s">
        <v>54</v>
      </c>
      <c r="AF63" s="21" t="s">
        <v>55</v>
      </c>
      <c r="AG63" s="22" t="s">
        <v>56</v>
      </c>
      <c r="AH63" s="19" t="s">
        <v>57</v>
      </c>
      <c r="AI63" s="21" t="s">
        <v>58</v>
      </c>
      <c r="AJ63" s="21" t="s">
        <v>59</v>
      </c>
      <c r="AK63" s="22" t="s">
        <v>60</v>
      </c>
      <c r="AL63" s="19" t="s">
        <v>61</v>
      </c>
      <c r="AM63" s="21" t="s">
        <v>62</v>
      </c>
      <c r="AN63" s="21" t="s">
        <v>63</v>
      </c>
      <c r="AO63" s="22" t="s">
        <v>64</v>
      </c>
      <c r="AP63" s="19" t="s">
        <v>65</v>
      </c>
      <c r="AQ63" s="21" t="s">
        <v>57</v>
      </c>
      <c r="AR63" s="21" t="s">
        <v>58</v>
      </c>
      <c r="AS63" s="21" t="s">
        <v>59</v>
      </c>
      <c r="AT63" s="21" t="s">
        <v>60</v>
      </c>
      <c r="AU63" s="21" t="s">
        <v>66</v>
      </c>
      <c r="AV63" s="21" t="s">
        <v>67</v>
      </c>
      <c r="AW63" s="21" t="s">
        <v>68</v>
      </c>
      <c r="AX63" s="21" t="s">
        <v>69</v>
      </c>
      <c r="AY63" s="21" t="s">
        <v>70</v>
      </c>
      <c r="AZ63" s="21" t="s">
        <v>71</v>
      </c>
      <c r="BA63" s="22" t="s">
        <v>72</v>
      </c>
      <c r="BB63" s="19" t="s">
        <v>73</v>
      </c>
      <c r="BC63" s="21" t="s">
        <v>74</v>
      </c>
      <c r="BD63" s="21" t="s">
        <v>75</v>
      </c>
      <c r="BE63" s="22" t="s">
        <v>76</v>
      </c>
      <c r="BF63" s="8"/>
      <c r="BG63" s="8"/>
      <c r="BH63" s="8"/>
    </row>
    <row r="64" spans="2:60">
      <c r="B64" s="180">
        <v>46188.666666666657</v>
      </c>
      <c r="C64" s="182" t="s">
        <v>91</v>
      </c>
      <c r="D64" s="17" t="str">
        <f>+Instructions!H21</f>
        <v>Saudi Arabia (KSA)</v>
      </c>
      <c r="E64" s="151">
        <v>0</v>
      </c>
      <c r="F64" s="72" t="str">
        <f>+Instructions!H22</f>
        <v>Uruguay (URU)</v>
      </c>
      <c r="G64" s="151">
        <v>1</v>
      </c>
      <c r="H64" s="15"/>
      <c r="I64" s="8"/>
      <c r="J64" s="25">
        <f>Q64</f>
        <v>1</v>
      </c>
      <c r="K64" s="73" t="str">
        <f t="array" ref="K64">INDEX(U64:U67,MATCH(S64,$T64:$T67,0))</f>
        <v>ESP</v>
      </c>
      <c r="L64" s="27">
        <f t="array" ref="L64">INDEX(V64:V67,MATCH(S64,$T64:$T67,0))</f>
        <v>9</v>
      </c>
      <c r="M64" s="28">
        <f t="array" ref="M64">INDEX(W64:W67,MATCH(S64,$T64:$T67,0))</f>
        <v>10</v>
      </c>
      <c r="N64" s="27">
        <f t="array" ref="N64">INDEX(X64:X67,MATCH(S64,$T64:$T67,0))</f>
        <v>0</v>
      </c>
      <c r="O64" s="29">
        <f t="array" ref="O64">INDEX(Y64:Y67,MATCH(S64,$T64:$T67,0))</f>
        <v>10</v>
      </c>
      <c r="P64" s="8"/>
      <c r="Q64" s="30">
        <v>1</v>
      </c>
      <c r="R64" s="30">
        <f>ROUND(S64,0)</f>
        <v>1</v>
      </c>
      <c r="S64" s="31">
        <f>+SMALL(T64:T67,1)</f>
        <v>0.95000000000000018</v>
      </c>
      <c r="T64" s="32">
        <f>SUM(AL64:AO64)+2.45</f>
        <v>0.95000000000000018</v>
      </c>
      <c r="U64" s="33" t="str">
        <f>+Instructions!I19</f>
        <v>ESP</v>
      </c>
      <c r="V64" s="10">
        <f>SUM(Z64:AC64)</f>
        <v>9</v>
      </c>
      <c r="W64" s="34">
        <f>E63+E65+G67</f>
        <v>10</v>
      </c>
      <c r="X64" s="10">
        <f>G63+G65+E67</f>
        <v>0</v>
      </c>
      <c r="Y64" s="35">
        <f>W64-X64</f>
        <v>10</v>
      </c>
      <c r="Z64" s="10" t="s">
        <v>78</v>
      </c>
      <c r="AA64" s="10">
        <f>IF(ISBLANK(E63),0,IF(E63&gt;G63,3,IF(E63=G63,1,0)))</f>
        <v>3</v>
      </c>
      <c r="AB64" s="10">
        <f>IF(ISBLANK(E65),0,IF(E65&gt;G65,3,IF(E65=G65,1,0)))</f>
        <v>3</v>
      </c>
      <c r="AC64" s="10">
        <f>IF(ISBLANK(G67),0,IF(G67&gt;E67,3,IF(G67=E67,1,0)))</f>
        <v>3</v>
      </c>
      <c r="AD64" s="34" t="s">
        <v>78</v>
      </c>
      <c r="AE64" s="10" t="b">
        <f>(10*(Y64-Y65)+W64-W65&gt;0)</f>
        <v>1</v>
      </c>
      <c r="AF64" s="10" t="b">
        <f>10*(Y64-Y66)+W64-W66&gt;0</f>
        <v>1</v>
      </c>
      <c r="AG64" s="35" t="b">
        <f>10*(Y64-Y67)+W64-W67&gt;0</f>
        <v>1</v>
      </c>
      <c r="AH64" s="34">
        <f>10000*(AA64+AB64)+(E65-G65+E63-G63)*100+(E65+E63)</f>
        <v>60909</v>
      </c>
      <c r="AI64" s="10">
        <f>10000*(AA64+AC64)+(E63-G63+G67-E67)*100+(E63+G67)</f>
        <v>60606</v>
      </c>
      <c r="AJ64" s="10">
        <f>10000*(AB64+AC64)+(G67-E67+E65-G65)*100+(G67+E65)</f>
        <v>60505</v>
      </c>
      <c r="AK64" s="35" t="s">
        <v>78</v>
      </c>
      <c r="AL64" s="34" t="s">
        <v>78</v>
      </c>
      <c r="AM64" s="36">
        <f>IF($V64&gt;$V65,-0.5,IF($V65&gt;$V64,0.5,IF(AE64,-0.5,IF(AD65,0.5,BC64))))</f>
        <v>-0.5</v>
      </c>
      <c r="AN64" s="36">
        <f>IF($V64&gt;$V66,-0.5,IF($V66&gt;$V64,0.5,IF(AF64,-0.5,IF(AD66,0.5,BD64))))</f>
        <v>-0.5</v>
      </c>
      <c r="AO64" s="37">
        <f>IF($V64&gt;$V67,-0.5,IF($V67&gt;$V64,0.5,IF(AG64,-0.5,IF(AD67,0.5,BE64))))</f>
        <v>-0.5</v>
      </c>
      <c r="AP64" s="38" t="b">
        <f>AND(AND(V64=V65,V65=V66,V66=V67),AND(W64=W65,W65=W66,W66=W67),AND(X64=X65,X65=X66,X66=X67))</f>
        <v>0</v>
      </c>
      <c r="AQ64" s="38" t="b">
        <f>AND(NOT(AP64),V64=V65,V64=V66,W64=W65,W64=W66,X64=X65,X64=X66)</f>
        <v>0</v>
      </c>
      <c r="AR64" s="38" t="b">
        <f>AND(NOT(AP64),V64=V65,V64=V67,W64=W65,W64=W67,X64=X65,X64=X67)</f>
        <v>0</v>
      </c>
      <c r="AS64" s="38" t="b">
        <f>AND(NOT(AP64),V64=V66,V64=V67,W64=W66,W64=W67,X64=X66,X64=X67)</f>
        <v>0</v>
      </c>
      <c r="AT64" s="38" t="b">
        <f>AND(NOT(AP64),V65=V66,V65=V67,W65=W66,W65=W67,X65=X66,X65=X67)</f>
        <v>0</v>
      </c>
      <c r="AU64" s="38" t="b">
        <f>AND(NOT(AP64),NOT(AQ64),NOT(AR64),V64=V65,W64=W65,X64=X65)</f>
        <v>0</v>
      </c>
      <c r="AV64" s="38" t="b">
        <f>AND(NOT(AP64),NOT(AQ64),NOT(AS64),V64=V66,W64=W66,X64=X66)</f>
        <v>0</v>
      </c>
      <c r="AW64" s="38" t="b">
        <f>AND(NOT(AP64),NOT(AR64),NOT(AS64),V64=V67,W64=W67,X64=X67)</f>
        <v>0</v>
      </c>
      <c r="AX64" s="38" t="b">
        <f>AND(NOT(AP64),NOT(AQ64),NOT(AT64),V65=V66,W65=W66)</f>
        <v>1</v>
      </c>
      <c r="AY64" s="38" t="b">
        <f>AND(NOT(AP64),NOT(AR64),NOT(AT64),V65=V67,W65=W67,X65=X67)</f>
        <v>0</v>
      </c>
      <c r="AZ64" s="38" t="b">
        <f>AND(NOT(AP64),NOT(AS64),NOT(AT64),V66=V67,W66=W67,X66=X67)</f>
        <v>0</v>
      </c>
      <c r="BA64" s="38" t="b">
        <f t="array" ref="BA64">AND(NOT(AP64:AZ64))</f>
        <v>0</v>
      </c>
      <c r="BB64" s="34" t="s">
        <v>78</v>
      </c>
      <c r="BC64" s="10">
        <f>IF($AU64,IF(G63-E63&lt;0,-0.5,IF(E63-G63&lt;0,0.5,0)),IF($AQ64,IF($AH64&gt;$AH65,-0.5,IF($AH64&lt;$AH65,0.5,0)),IF($AR64,IF($AI64&gt;$AI65,-0.5, IF($AI64&lt;$AI65,0.5,0)),0)))</f>
        <v>0</v>
      </c>
      <c r="BD64" s="10">
        <f>IF($AV64,IF(G65-E65&lt;0,-0.5,IF(E65-G65&lt;0,0.5,0)),IF($AQ64,IF($AH64&gt;$AH66,-0.5,IF($AH64&lt;$AH66,0.5,0)),IF($AS64,IF($AJ64&gt;$AJ66,-0.5,IF($AJ64&lt;$AJ66,0.5,0)),0)))</f>
        <v>0</v>
      </c>
      <c r="BE64" s="35">
        <f>IF($AW64,IF(E67-G67&lt;0,-0.5,IF(G67-E67&lt;0,0.5,0)),IF($AR64,IF($AI64&gt;$AI67,-0.5,IF($AI64&lt;$AI67,0.5,0)),IF($AS64,IF($AJ64&gt;$AJ67,-0.5, IF($AJ64&lt;$AJ67,0.5,0)),0)))</f>
        <v>0</v>
      </c>
      <c r="BF64" s="8"/>
      <c r="BG64" s="8"/>
      <c r="BH64" s="8"/>
    </row>
    <row r="65" spans="2:60">
      <c r="B65" s="180">
        <v>46194.416666666657</v>
      </c>
      <c r="C65" s="182" t="s">
        <v>79</v>
      </c>
      <c r="D65" s="17" t="str">
        <f>+Instructions!H19</f>
        <v>Spain (ESP)</v>
      </c>
      <c r="E65" s="151">
        <v>4</v>
      </c>
      <c r="F65" s="72" t="str">
        <f>+Instructions!H21</f>
        <v>Saudi Arabia (KSA)</v>
      </c>
      <c r="G65" s="151">
        <v>0</v>
      </c>
      <c r="H65" s="15"/>
      <c r="I65" s="8"/>
      <c r="J65" s="41">
        <f>Q65</f>
        <v>2</v>
      </c>
      <c r="K65" s="74" t="str">
        <f t="array" ref="K65">INDEX(U64:U67,MATCH(S65,$T64:$T67,0))</f>
        <v>URU</v>
      </c>
      <c r="L65" s="43">
        <f t="array" ref="L65">INDEX(V64:V67,MATCH(S65,$T64:$T67,0))</f>
        <v>6</v>
      </c>
      <c r="M65" s="44">
        <f t="array" ref="M65">INDEX(W64:W67,MATCH(S65,$T64:$T67,0))</f>
        <v>3</v>
      </c>
      <c r="N65" s="43">
        <f t="array" ref="N65">INDEX(X64:X67,MATCH(S65,$T64:$T67,0))</f>
        <v>1</v>
      </c>
      <c r="O65" s="45">
        <f t="array" ref="O65">INDEX(Y64:Y67,MATCH(S65,$T64:$T67,0))</f>
        <v>2</v>
      </c>
      <c r="P65" s="8"/>
      <c r="Q65" s="30">
        <f>IF(ROUND(S65,0)=ROUND(S64,0),Q64,2)</f>
        <v>2</v>
      </c>
      <c r="R65" s="30">
        <f>ROUND(S65,0)</f>
        <v>2</v>
      </c>
      <c r="S65" s="31">
        <f>+SMALL(T64:T67,2)</f>
        <v>1.98</v>
      </c>
      <c r="T65" s="46">
        <f>SUM(AL65:AO65)+2.46</f>
        <v>3.96</v>
      </c>
      <c r="U65" s="33" t="str">
        <f>+Instructions!I20</f>
        <v>CPV</v>
      </c>
      <c r="V65" s="10">
        <f>SUM(Z65:AC65)</f>
        <v>1</v>
      </c>
      <c r="W65" s="34">
        <f>G63+G66+E68</f>
        <v>0</v>
      </c>
      <c r="X65" s="10">
        <f>E63+E66+G68</f>
        <v>7</v>
      </c>
      <c r="Y65" s="35">
        <f>W65-X65</f>
        <v>-7</v>
      </c>
      <c r="Z65" s="10">
        <f>IF(ISBLANK(G63),0,IF(AA64=3,0,IF(AA64=1,1,3)))</f>
        <v>0</v>
      </c>
      <c r="AA65" s="10" t="s">
        <v>78</v>
      </c>
      <c r="AB65" s="10">
        <f>IF(ISBLANK(E68),0,IF(AA66=3,0,IF(AA66=1,1,3)))</f>
        <v>1</v>
      </c>
      <c r="AC65" s="10">
        <f>IF(ISBLANK(G66),0,IF(G66&gt;E66,3,IF(G66=E66,1,0)))</f>
        <v>0</v>
      </c>
      <c r="AD65" s="34" t="b">
        <f>(10*(Y64-Y65)+W64-W65&lt;0)</f>
        <v>0</v>
      </c>
      <c r="AE65" s="10" t="s">
        <v>78</v>
      </c>
      <c r="AF65" s="10" t="b">
        <f>10*(Y65-Y66)+W65-W66&gt;0</f>
        <v>0</v>
      </c>
      <c r="AG65" s="35" t="b">
        <f>10*(Y65-Y67)+W65-W67&gt;0</f>
        <v>0</v>
      </c>
      <c r="AH65" s="34">
        <f>10000*(Z65+AB65)+(G63-E63+E68-G68)*100+(G63+E68)</f>
        <v>9500</v>
      </c>
      <c r="AI65" s="10">
        <f>10000*(Z65+AC65)+(G63-E63+G66-E66)*100+(G63+G66)</f>
        <v>-700</v>
      </c>
      <c r="AJ65" s="10" t="s">
        <v>78</v>
      </c>
      <c r="AK65" s="35">
        <f>10000*(AB65+AC65)+(G66-E66+E68-G68)*100+(G66+E68)</f>
        <v>9800</v>
      </c>
      <c r="AL65" s="47">
        <f>-AM64</f>
        <v>0.5</v>
      </c>
      <c r="AM65" s="10" t="s">
        <v>78</v>
      </c>
      <c r="AN65" s="36">
        <f>IF($V65&gt;$V66,-0.5,IF($V66&gt;$V65,0.5,IF(AF65,-0.5,IF(AE66,0.5,BD65))))</f>
        <v>0.5</v>
      </c>
      <c r="AO65" s="37">
        <f>IF($V65&gt;$V67,-0.5,IF($V67&gt;$V65,0.5,IF(AG65,-0.5,IF(AE67,0.5,BE65))))</f>
        <v>0.5</v>
      </c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34"/>
      <c r="BC65" s="10" t="s">
        <v>78</v>
      </c>
      <c r="BD65" s="10">
        <f>IF($AX64,IF(G68-E68&lt;0,-0.5,IF(E68-G68&lt;0,0.5,0)),IF($AQ64,IF($AH65&gt;$AH66,-0.5,IF($AH65&lt;$AH66,0.5,0)),IF($AT64,IF($AK65&gt;$AK66,-0.5,IF($AK65&lt;$AK66,0.5,0)),0)))</f>
        <v>0</v>
      </c>
      <c r="BE65" s="35">
        <f>IF($AY64,IF(E66-G66&lt;0,-0.5,IF(G66-E66&lt;0,0.5,0)),IF($AR64,IF($AI65&gt;$AI67,-0.5,IF($AI65&lt;$AI67,0.5,0)),IF($AT64,IF($AK65&gt;$AK67,-0.5,IF($AK65&lt;$AK67,0.5,0)),0)))</f>
        <v>0</v>
      </c>
      <c r="BF65" s="8"/>
      <c r="BG65" s="8"/>
      <c r="BH65" s="8"/>
    </row>
    <row r="66" spans="2:60">
      <c r="B66" s="180">
        <v>46194.666666666657</v>
      </c>
      <c r="C66" s="182" t="s">
        <v>91</v>
      </c>
      <c r="D66" s="17" t="str">
        <f>+Instructions!H22</f>
        <v>Uruguay (URU)</v>
      </c>
      <c r="E66" s="151">
        <v>2</v>
      </c>
      <c r="F66" s="84" t="str">
        <f>+Instructions!H20</f>
        <v>Cape Verde (CPV)</v>
      </c>
      <c r="G66" s="151">
        <v>0</v>
      </c>
      <c r="H66" s="15"/>
      <c r="I66" s="8"/>
      <c r="J66" s="41">
        <f>Q66</f>
        <v>3</v>
      </c>
      <c r="K66" s="76" t="str">
        <f t="array" ref="K66">INDEX(U64:U67,MATCH(S66,$T64:$T67,0))</f>
        <v>KSA</v>
      </c>
      <c r="L66" s="54">
        <f t="array" ref="L66">INDEX(V64:V67,MATCH(S66,$T64:$T67,0))</f>
        <v>1</v>
      </c>
      <c r="M66" s="53">
        <f t="array" ref="M66">INDEX(W64:W67,MATCH(S66,$T64:$T67,0))</f>
        <v>0</v>
      </c>
      <c r="N66" s="54">
        <f t="array" ref="N66">INDEX(X64:X67,MATCH(S66,$T64:$T67,0))</f>
        <v>5</v>
      </c>
      <c r="O66" s="52">
        <f t="array" ref="O66">INDEX(Y64:Y67,MATCH(S66,$T64:$T67,0))</f>
        <v>-5</v>
      </c>
      <c r="P66" s="8"/>
      <c r="Q66" s="30">
        <f>IF(ROUND(S66,0)=ROUND(S65,0),Q65,3)</f>
        <v>3</v>
      </c>
      <c r="R66" s="30">
        <f>ROUND(S66,0)</f>
        <v>3</v>
      </c>
      <c r="S66" s="31">
        <f>+SMALL(T64:T67,3)</f>
        <v>2.97</v>
      </c>
      <c r="T66" s="46">
        <f>SUM(AL66:AO66)+2.47</f>
        <v>2.97</v>
      </c>
      <c r="U66" s="33" t="str">
        <f>+Instructions!I21</f>
        <v>KSA</v>
      </c>
      <c r="V66" s="10">
        <f>SUM(Z66:AC66)</f>
        <v>1</v>
      </c>
      <c r="W66" s="34">
        <f>E64+G65+G68</f>
        <v>0</v>
      </c>
      <c r="X66" s="10">
        <f>G64+E65+E68</f>
        <v>5</v>
      </c>
      <c r="Y66" s="35">
        <f>W66-X66</f>
        <v>-5</v>
      </c>
      <c r="Z66" s="10">
        <f>IF(ISBLANK(G65),0,IF(AB64=3,0,IF(AB64=1,1,3)))</f>
        <v>0</v>
      </c>
      <c r="AA66" s="10">
        <f>IF(ISBLANK(G68),0,IF(G68&gt;E68,3,IF(G68=E68,1,0)))</f>
        <v>1</v>
      </c>
      <c r="AB66" s="10" t="s">
        <v>78</v>
      </c>
      <c r="AC66" s="10">
        <f>IF(ISBLANK(E64),0,IF(E64&gt;G64,3,IF(E64=G64,1,0)))</f>
        <v>0</v>
      </c>
      <c r="AD66" s="34" t="b">
        <f>10*(Y64-Y66)+W64-W66&lt;0</f>
        <v>0</v>
      </c>
      <c r="AE66" s="10" t="b">
        <f>10*(Y65-Y66)+W65-W66&lt;0</f>
        <v>1</v>
      </c>
      <c r="AF66" s="10" t="s">
        <v>78</v>
      </c>
      <c r="AG66" s="35" t="b">
        <f>10*(Y66-Y67)+W66-W67&gt;0</f>
        <v>0</v>
      </c>
      <c r="AH66" s="34">
        <f>10000*(Z66+AA66)+(G65-E65+G68-E68)*100+(G65+G68)</f>
        <v>9600</v>
      </c>
      <c r="AI66" s="10" t="s">
        <v>78</v>
      </c>
      <c r="AJ66" s="10">
        <f>10000*(Z66+AC66)+(E64-G64+G65-E65)*100+(E64+G65)</f>
        <v>-500</v>
      </c>
      <c r="AK66" s="35">
        <f>10000*(AA66+AC66)+(E64-G64+G68-E68)*100+(E64+G68)</f>
        <v>9900</v>
      </c>
      <c r="AL66" s="47">
        <f>-AN64</f>
        <v>0.5</v>
      </c>
      <c r="AM66" s="36">
        <f>-AN65</f>
        <v>-0.5</v>
      </c>
      <c r="AN66" s="36" t="s">
        <v>78</v>
      </c>
      <c r="AO66" s="37">
        <f>IF($V66&gt;$V67,-0.5,IF($V67&gt;$V66,0.5,IF(AG66,-0.5,IF(AF67,0.5,BE66))))</f>
        <v>0.5</v>
      </c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34"/>
      <c r="BC66" s="10"/>
      <c r="BD66" s="10" t="s">
        <v>78</v>
      </c>
      <c r="BE66" s="35">
        <f>IF($AZ64,IF(G64-E64&lt;0,-0.5,IF(E64-G64&lt;0,0.5,0)),IF($AS64,IF($AJ66&gt;$AJ67,-0.5,IF($AJ66&lt;$AJ67,0.5,0)),IF($AT64,IF($AK66&gt;$AK67,-0.5,IF($AK66&lt;$AK67,0.5,0)),0)))</f>
        <v>0</v>
      </c>
      <c r="BF66" s="8"/>
      <c r="BG66" s="8"/>
      <c r="BH66" s="8"/>
    </row>
    <row r="67" spans="2:60">
      <c r="B67" s="180">
        <v>46199.75</v>
      </c>
      <c r="C67" s="182" t="s">
        <v>77</v>
      </c>
      <c r="D67" s="17" t="str">
        <f>+Instructions!H22</f>
        <v>Uruguay (URU)</v>
      </c>
      <c r="E67" s="151">
        <v>0</v>
      </c>
      <c r="F67" s="72" t="str">
        <f>+Instructions!H19</f>
        <v>Spain (ESP)</v>
      </c>
      <c r="G67" s="151">
        <v>1</v>
      </c>
      <c r="H67" s="15"/>
      <c r="I67" s="8"/>
      <c r="J67" s="55">
        <f>Q67</f>
        <v>4</v>
      </c>
      <c r="K67" s="56" t="str">
        <f t="array" ref="K67">INDEX(U64:U67,MATCH(S67,$T64:$T67,0))</f>
        <v>CPV</v>
      </c>
      <c r="L67" s="57">
        <f t="array" ref="L67">INDEX(V64:V67,MATCH(S67,$T64:$T67,0))</f>
        <v>1</v>
      </c>
      <c r="M67" s="58">
        <f t="array" ref="M67">INDEX(W64:W67,MATCH(S67,$T64:$T67,0))</f>
        <v>0</v>
      </c>
      <c r="N67" s="57">
        <f t="array" ref="N67">INDEX(X64:X67,MATCH(S67,$T64:$T67,0))</f>
        <v>7</v>
      </c>
      <c r="O67" s="59">
        <f t="array" ref="O67">INDEX(Y64:Y67,MATCH(S67,$T64:$T67,0))</f>
        <v>-7</v>
      </c>
      <c r="P67" s="8"/>
      <c r="Q67" s="30">
        <f>IF(ROUND(S67,0)=ROUND(S66,0),Q66,4)</f>
        <v>4</v>
      </c>
      <c r="R67" s="30">
        <f>ROUND(S67,0)</f>
        <v>4</v>
      </c>
      <c r="S67" s="31">
        <f>+SMALL(T64:T67,4)</f>
        <v>3.96</v>
      </c>
      <c r="T67" s="60">
        <f>SUM(AL67:AO67)+2.48</f>
        <v>1.98</v>
      </c>
      <c r="U67" s="61" t="str">
        <f>+Instructions!I22</f>
        <v>URU</v>
      </c>
      <c r="V67" s="38">
        <f>SUM(Z67:AC67)</f>
        <v>6</v>
      </c>
      <c r="W67" s="62">
        <f>G64+E66+E67</f>
        <v>3</v>
      </c>
      <c r="X67" s="38">
        <f>E64+G66+G67</f>
        <v>1</v>
      </c>
      <c r="Y67" s="63">
        <f>W67-X67</f>
        <v>2</v>
      </c>
      <c r="Z67" s="38">
        <f>IF(ISBLANK(E67),0,IF(AC64=3,0,IF(AC64=1,1,3)))</f>
        <v>0</v>
      </c>
      <c r="AA67" s="38">
        <f>IF(ISBLANK(E66),0,IF(AC65=3,0,IF(AC65=1,1,3)))</f>
        <v>3</v>
      </c>
      <c r="AB67" s="38">
        <f>IF(ISBLANK(G64),0,IF(AC66=3,0,IF(AC66=1,1,3)))</f>
        <v>3</v>
      </c>
      <c r="AC67" s="38" t="s">
        <v>78</v>
      </c>
      <c r="AD67" s="62" t="b">
        <f>10*(Y64-Y67)+W64-W67&lt;0</f>
        <v>0</v>
      </c>
      <c r="AE67" s="38" t="b">
        <f>10*(Y65-Y67)+W65-W67&lt;0</f>
        <v>1</v>
      </c>
      <c r="AF67" s="38" t="b">
        <f>10*(Y66-Y67)+W66-W67&lt;0</f>
        <v>1</v>
      </c>
      <c r="AG67" s="63" t="s">
        <v>78</v>
      </c>
      <c r="AH67" s="62" t="s">
        <v>78</v>
      </c>
      <c r="AI67" s="38">
        <f>10000*(Z67+AA67)+(E66-G66+E67-G67)*100+(E66+E67)</f>
        <v>30102</v>
      </c>
      <c r="AJ67" s="38">
        <f>10000*(Z67+AB67)+(E67-G67+G64-E64)*100+(E67+G64)</f>
        <v>30001</v>
      </c>
      <c r="AK67" s="63">
        <f>10000*(AA67+AB67)+(E66-G66+G64-E64)*100+(E66+G64)</f>
        <v>60303</v>
      </c>
      <c r="AL67" s="64">
        <f>-AO64</f>
        <v>0.5</v>
      </c>
      <c r="AM67" s="65">
        <f>-AO65</f>
        <v>-0.5</v>
      </c>
      <c r="AN67" s="65">
        <f>-AO66</f>
        <v>-0.5</v>
      </c>
      <c r="AO67" s="63" t="s">
        <v>78</v>
      </c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62"/>
      <c r="BC67" s="38"/>
      <c r="BD67" s="38"/>
      <c r="BE67" s="63" t="s">
        <v>78</v>
      </c>
      <c r="BF67" s="8"/>
      <c r="BG67" s="8"/>
      <c r="BH67" s="8"/>
    </row>
    <row r="68" spans="2:60">
      <c r="B68" s="183">
        <v>46199.75</v>
      </c>
      <c r="C68" s="184" t="s">
        <v>94</v>
      </c>
      <c r="D68" s="68" t="str">
        <f>+Instructions!H20</f>
        <v>Cape Verde (CPV)</v>
      </c>
      <c r="E68" s="151">
        <v>0</v>
      </c>
      <c r="F68" s="78" t="str">
        <f>+Instructions!H21</f>
        <v>Saudi Arabia (KSA)</v>
      </c>
      <c r="G68" s="151">
        <v>0</v>
      </c>
      <c r="H68" s="15"/>
      <c r="I68" s="8"/>
      <c r="J68" s="10"/>
      <c r="K68" s="70" t="str">
        <f>IF(ISBLANK(G68)," ",+IF(OR(J66&lt;3,J65&lt;2),"TIE BREAK! Pick your qualifiers on the Knock-Out Predictions sheet"," "))</f>
        <v xml:space="preserve"> 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2:60">
      <c r="B69" s="11"/>
      <c r="C69" s="12"/>
      <c r="D69" s="8"/>
      <c r="E69" s="13"/>
      <c r="F69" s="14"/>
      <c r="G69" s="13"/>
      <c r="H69" s="1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2:60">
      <c r="B70" s="231" t="s">
        <v>100</v>
      </c>
      <c r="C70" s="232"/>
      <c r="D70" s="232"/>
      <c r="E70" s="232"/>
      <c r="F70" s="232"/>
      <c r="G70" s="233"/>
      <c r="H70" s="15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2:60" ht="17">
      <c r="B71" s="180">
        <v>46189.541666666657</v>
      </c>
      <c r="C71" s="181" t="s">
        <v>88</v>
      </c>
      <c r="D71" s="17" t="str">
        <f>+Instructions!H25</f>
        <v>France (FRA)</v>
      </c>
      <c r="E71" s="150">
        <v>2</v>
      </c>
      <c r="F71" s="83" t="str">
        <f>+Instructions!H26</f>
        <v>Senegal (SEN)</v>
      </c>
      <c r="G71" s="150">
        <v>0</v>
      </c>
      <c r="H71" s="15"/>
      <c r="I71" s="8"/>
      <c r="J71" s="10"/>
      <c r="K71" s="178" t="s">
        <v>100</v>
      </c>
      <c r="L71" s="179" t="s">
        <v>42</v>
      </c>
      <c r="M71" s="206" t="s">
        <v>43</v>
      </c>
      <c r="N71" s="207" t="s">
        <v>368</v>
      </c>
      <c r="O71" s="207" t="s">
        <v>369</v>
      </c>
      <c r="P71" s="8"/>
      <c r="Q71" s="8"/>
      <c r="R71" s="8"/>
      <c r="S71" s="8"/>
      <c r="T71" s="19" t="s">
        <v>46</v>
      </c>
      <c r="U71" s="20" t="s">
        <v>47</v>
      </c>
      <c r="V71" s="21" t="s">
        <v>42</v>
      </c>
      <c r="W71" s="19" t="s">
        <v>43</v>
      </c>
      <c r="X71" s="21" t="s">
        <v>44</v>
      </c>
      <c r="Y71" s="22" t="s">
        <v>48</v>
      </c>
      <c r="Z71" s="21" t="s">
        <v>49</v>
      </c>
      <c r="AA71" s="21" t="s">
        <v>50</v>
      </c>
      <c r="AB71" s="21" t="s">
        <v>51</v>
      </c>
      <c r="AC71" s="21" t="s">
        <v>52</v>
      </c>
      <c r="AD71" s="19" t="s">
        <v>53</v>
      </c>
      <c r="AE71" s="21" t="s">
        <v>54</v>
      </c>
      <c r="AF71" s="21" t="s">
        <v>55</v>
      </c>
      <c r="AG71" s="22" t="s">
        <v>56</v>
      </c>
      <c r="AH71" s="19" t="s">
        <v>57</v>
      </c>
      <c r="AI71" s="21" t="s">
        <v>58</v>
      </c>
      <c r="AJ71" s="21" t="s">
        <v>59</v>
      </c>
      <c r="AK71" s="22" t="s">
        <v>60</v>
      </c>
      <c r="AL71" s="19" t="s">
        <v>61</v>
      </c>
      <c r="AM71" s="21" t="s">
        <v>62</v>
      </c>
      <c r="AN71" s="21" t="s">
        <v>63</v>
      </c>
      <c r="AO71" s="22" t="s">
        <v>64</v>
      </c>
      <c r="AP71" s="19" t="s">
        <v>65</v>
      </c>
      <c r="AQ71" s="21" t="s">
        <v>57</v>
      </c>
      <c r="AR71" s="21" t="s">
        <v>58</v>
      </c>
      <c r="AS71" s="21" t="s">
        <v>59</v>
      </c>
      <c r="AT71" s="21" t="s">
        <v>60</v>
      </c>
      <c r="AU71" s="21" t="s">
        <v>66</v>
      </c>
      <c r="AV71" s="21" t="s">
        <v>67</v>
      </c>
      <c r="AW71" s="21" t="s">
        <v>68</v>
      </c>
      <c r="AX71" s="21" t="s">
        <v>69</v>
      </c>
      <c r="AY71" s="21" t="s">
        <v>70</v>
      </c>
      <c r="AZ71" s="21" t="s">
        <v>71</v>
      </c>
      <c r="BA71" s="22" t="s">
        <v>72</v>
      </c>
      <c r="BB71" s="19" t="s">
        <v>73</v>
      </c>
      <c r="BC71" s="21" t="s">
        <v>74</v>
      </c>
      <c r="BD71" s="21" t="s">
        <v>75</v>
      </c>
      <c r="BE71" s="22" t="s">
        <v>76</v>
      </c>
      <c r="BF71" s="8"/>
      <c r="BG71" s="8"/>
      <c r="BH71" s="8"/>
    </row>
    <row r="72" spans="2:60">
      <c r="B72" s="180">
        <v>46189.666666666657</v>
      </c>
      <c r="C72" s="182" t="s">
        <v>89</v>
      </c>
      <c r="D72" s="17" t="str">
        <f>+Instructions!H27</f>
        <v>Iraq (IRQ)</v>
      </c>
      <c r="E72" s="151">
        <v>0</v>
      </c>
      <c r="F72" s="72" t="str">
        <f>+Instructions!H28</f>
        <v>Norway (NOR)</v>
      </c>
      <c r="G72" s="151">
        <v>1</v>
      </c>
      <c r="H72" s="15"/>
      <c r="I72" s="8"/>
      <c r="J72" s="25">
        <f>Q72</f>
        <v>1</v>
      </c>
      <c r="K72" s="73" t="str">
        <f t="array" ref="K72">INDEX(U72:U75,MATCH(S72,$T72:$T75,0))</f>
        <v>FRA</v>
      </c>
      <c r="L72" s="27">
        <f t="array" ref="L72">INDEX(V72:V75,MATCH(S72,$T72:$T75,0))</f>
        <v>9</v>
      </c>
      <c r="M72" s="28">
        <f t="array" ref="M72">INDEX(W72:W75,MATCH(S72,$T72:$T75,0))</f>
        <v>8</v>
      </c>
      <c r="N72" s="27">
        <f t="array" ref="N72">INDEX(X72:X75,MATCH(S72,$T72:$T75,0))</f>
        <v>1</v>
      </c>
      <c r="O72" s="29">
        <f t="array" ref="O72">INDEX(Y72:Y75,MATCH(S72,$T72:$T75,0))</f>
        <v>7</v>
      </c>
      <c r="P72" s="8"/>
      <c r="Q72" s="30">
        <v>1</v>
      </c>
      <c r="R72" s="30">
        <f>ROUND(S72,0)</f>
        <v>1</v>
      </c>
      <c r="S72" s="31">
        <f>+SMALL(T72:T75,1)</f>
        <v>0.95000000000000018</v>
      </c>
      <c r="T72" s="32">
        <f>SUM(AL72:AO72)+2.45</f>
        <v>0.95000000000000018</v>
      </c>
      <c r="U72" s="33" t="str">
        <f>+Instructions!I25</f>
        <v>FRA</v>
      </c>
      <c r="V72" s="10">
        <f>SUM(Z72:AC72)</f>
        <v>9</v>
      </c>
      <c r="W72" s="34">
        <f>E71+E73+G75</f>
        <v>8</v>
      </c>
      <c r="X72" s="10">
        <f>G71+G73+E75</f>
        <v>1</v>
      </c>
      <c r="Y72" s="35">
        <f>W72-X72</f>
        <v>7</v>
      </c>
      <c r="Z72" s="10" t="s">
        <v>78</v>
      </c>
      <c r="AA72" s="10">
        <f>IF(ISBLANK(E71),0,IF(E71&gt;G71,3,IF(E71=G71,1,0)))</f>
        <v>3</v>
      </c>
      <c r="AB72" s="10">
        <f>IF(ISBLANK(E73),0,IF(E73&gt;G73,3,IF(E73=G73,1,0)))</f>
        <v>3</v>
      </c>
      <c r="AC72" s="10">
        <f>IF(ISBLANK(G75),0,IF(G75&gt;E75,3,IF(G75=E75,1,0)))</f>
        <v>3</v>
      </c>
      <c r="AD72" s="34" t="s">
        <v>78</v>
      </c>
      <c r="AE72" s="10" t="b">
        <f>(10*(Y72-Y73)+W72-W73&gt;0)</f>
        <v>1</v>
      </c>
      <c r="AF72" s="10" t="b">
        <f>10*(Y72-Y74)+W72-W74&gt;0</f>
        <v>1</v>
      </c>
      <c r="AG72" s="35" t="b">
        <f>10*(Y72-Y75)+W72-W75&gt;0</f>
        <v>1</v>
      </c>
      <c r="AH72" s="34">
        <f>10000*(AA72+AB72)+(E73-G73+E71-G71)*100+(E73+E71)</f>
        <v>60505</v>
      </c>
      <c r="AI72" s="10">
        <f>10000*(AA72+AC72)+(E71-G71+G75-E75)*100+(E71+G75)</f>
        <v>60405</v>
      </c>
      <c r="AJ72" s="10">
        <f>10000*(AB72+AC72)+(G75-E75+E73-G73)*100+(G75+E73)</f>
        <v>60506</v>
      </c>
      <c r="AK72" s="35" t="s">
        <v>78</v>
      </c>
      <c r="AL72" s="34" t="s">
        <v>78</v>
      </c>
      <c r="AM72" s="36">
        <f>IF($V72&gt;$V73,-0.5,IF($V73&gt;$V72,0.5,IF(AE72,-0.5,IF(AD73,0.5,BC72))))</f>
        <v>-0.5</v>
      </c>
      <c r="AN72" s="36">
        <f>IF($V72&gt;$V74,-0.5,IF($V74&gt;$V72,0.5,IF(AF72,-0.5,IF(AD74,0.5,BD72))))</f>
        <v>-0.5</v>
      </c>
      <c r="AO72" s="37">
        <f>IF($V72&gt;$V75,-0.5,IF($V75&gt;$V72,0.5,IF(AG72,-0.5,IF(AD75,0.5,BE72))))</f>
        <v>-0.5</v>
      </c>
      <c r="AP72" s="38" t="b">
        <f>AND(AND(V72=V73,V73=V74,V74=V75),AND(W72=W73,W73=W74,W74=W75),AND(X72=X73,X73=X74,X74=X75))</f>
        <v>0</v>
      </c>
      <c r="AQ72" s="38" t="b">
        <f>AND(NOT(AP72),V72=V73,V72=V74,W72=W73,W72=W74,X72=X73,X72=X74)</f>
        <v>0</v>
      </c>
      <c r="AR72" s="38" t="b">
        <f>AND(NOT(AP72),V72=V73,V72=V75,W72=W73,W72=W75,X72=X73,X72=X75)</f>
        <v>0</v>
      </c>
      <c r="AS72" s="38" t="b">
        <f>AND(NOT(AP72),V72=V74,V72=V75,W72=W74,W72=W75,X72=X74,X72=X75)</f>
        <v>0</v>
      </c>
      <c r="AT72" s="38" t="b">
        <f>AND(NOT(AP72),V73=V74,V73=V75,W73=W74,W73=W75,X73=X74,X73=X75)</f>
        <v>0</v>
      </c>
      <c r="AU72" s="38" t="b">
        <f>AND(NOT(AP72),NOT(AQ72),NOT(AR72),V72=V73,W72=W73,X72=X73)</f>
        <v>0</v>
      </c>
      <c r="AV72" s="38" t="b">
        <f>AND(NOT(AP72),NOT(AQ72),NOT(AS72),V72=V74,W72=W74,X72=X74)</f>
        <v>0</v>
      </c>
      <c r="AW72" s="38" t="b">
        <f>AND(NOT(AP72),NOT(AR72),NOT(AS72),V72=V75,W72=W75,X72=X75)</f>
        <v>0</v>
      </c>
      <c r="AX72" s="38" t="b">
        <f>AND(NOT(AP72),NOT(AQ72),NOT(AT72),V73=V74,W73=W74)</f>
        <v>0</v>
      </c>
      <c r="AY72" s="38" t="b">
        <f>AND(NOT(AP72),NOT(AR72),NOT(AT72),V73=V75,W73=W75,X73=X75)</f>
        <v>0</v>
      </c>
      <c r="AZ72" s="38" t="b">
        <f>AND(NOT(AP72),NOT(AS72),NOT(AT72),V74=V75,W74=W75,X74=X75)</f>
        <v>0</v>
      </c>
      <c r="BA72" s="38" t="b">
        <f t="array" ref="BA72">AND(NOT(AP72:AZ72))</f>
        <v>1</v>
      </c>
      <c r="BB72" s="34" t="s">
        <v>78</v>
      </c>
      <c r="BC72" s="10">
        <f>IF($AU72,IF(G71-E71&lt;0,-0.5,IF(E71-G71&lt;0,0.5,0)),IF($AQ72,IF($AH72&gt;$AH73,-0.5,IF($AH72&lt;$AH73,0.5,0)),IF($AR72,IF($AI72&gt;$AI73,-0.5, IF($AI72&lt;$AI73,0.5,0)),0)))</f>
        <v>0</v>
      </c>
      <c r="BD72" s="10">
        <f>IF($AV72,IF(G73-E73&lt;0,-0.5,IF(E73-G73&lt;0,0.5,0)),IF($AQ72,IF($AH72&gt;$AH74,-0.5,IF($AH72&lt;$AH74,0.5,0)),IF($AS72,IF($AJ72&gt;$AJ74,-0.5,IF($AJ72&lt;$AJ74,0.5,0)),0)))</f>
        <v>0</v>
      </c>
      <c r="BE72" s="35">
        <f>IF($AW72,IF(E75-G75&lt;0,-0.5,IF(G75-E75&lt;0,0.5,0)),IF($AR72,IF($AI72&gt;$AI75,-0.5,IF($AI72&lt;$AI75,0.5,0)),IF($AS72,IF($AJ72&gt;$AJ75,-0.5, IF($AJ72&lt;$AJ75,0.5,0)),0)))</f>
        <v>0</v>
      </c>
      <c r="BF72" s="8"/>
      <c r="BG72" s="8"/>
      <c r="BH72" s="8"/>
    </row>
    <row r="73" spans="2:60">
      <c r="B73" s="180">
        <v>46195.625</v>
      </c>
      <c r="C73" s="182" t="s">
        <v>90</v>
      </c>
      <c r="D73" s="17" t="str">
        <f>+Instructions!H25</f>
        <v>France (FRA)</v>
      </c>
      <c r="E73" s="151">
        <v>3</v>
      </c>
      <c r="F73" s="72" t="str">
        <f>+Instructions!H27</f>
        <v>Iraq (IRQ)</v>
      </c>
      <c r="G73" s="151">
        <v>0</v>
      </c>
      <c r="H73" s="15"/>
      <c r="I73" s="8"/>
      <c r="J73" s="41">
        <f>Q73</f>
        <v>2</v>
      </c>
      <c r="K73" s="74" t="str">
        <f t="array" ref="K73">INDEX(U72:U75,MATCH(S73,$T72:$T75,0))</f>
        <v>NOR</v>
      </c>
      <c r="L73" s="43">
        <f t="array" ref="L73">INDEX(V72:V75,MATCH(S73,$T72:$T75,0))</f>
        <v>4</v>
      </c>
      <c r="M73" s="44">
        <f t="array" ref="M73">INDEX(W72:W75,MATCH(S73,$T72:$T75,0))</f>
        <v>3</v>
      </c>
      <c r="N73" s="43">
        <f t="array" ref="N73">INDEX(X72:X75,MATCH(S73,$T72:$T75,0))</f>
        <v>4</v>
      </c>
      <c r="O73" s="45">
        <f t="array" ref="O73">INDEX(Y72:Y75,MATCH(S73,$T72:$T75,0))</f>
        <v>-1</v>
      </c>
      <c r="P73" s="8"/>
      <c r="Q73" s="30">
        <f>IF(ROUND(S73,0)=ROUND(S72,0),Q72,2)</f>
        <v>2</v>
      </c>
      <c r="R73" s="30">
        <f>ROUND(S73,0)</f>
        <v>2</v>
      </c>
      <c r="S73" s="31">
        <f>+SMALL(T72:T75,2)</f>
        <v>1.98</v>
      </c>
      <c r="T73" s="46">
        <f>SUM(AL73:AO73)+2.46</f>
        <v>2.96</v>
      </c>
      <c r="U73" s="33" t="str">
        <f>+Instructions!I26</f>
        <v>SEN</v>
      </c>
      <c r="V73" s="10">
        <f>SUM(Z73:AC73)</f>
        <v>4</v>
      </c>
      <c r="W73" s="34">
        <f>G71+G74+E76</f>
        <v>2</v>
      </c>
      <c r="X73" s="10">
        <f>E71+E74+G76</f>
        <v>3</v>
      </c>
      <c r="Y73" s="35">
        <f>W73-X73</f>
        <v>-1</v>
      </c>
      <c r="Z73" s="10">
        <f>IF(ISBLANK(G71),0,IF(AA72=3,0,IF(AA72=1,1,3)))</f>
        <v>0</v>
      </c>
      <c r="AA73" s="10" t="s">
        <v>78</v>
      </c>
      <c r="AB73" s="10">
        <f>IF(ISBLANK(E76),0,IF(AA74=3,0,IF(AA74=1,1,3)))</f>
        <v>3</v>
      </c>
      <c r="AC73" s="10">
        <f>IF(ISBLANK(G74),0,IF(G74&gt;E74,3,IF(G74=E74,1,0)))</f>
        <v>1</v>
      </c>
      <c r="AD73" s="34" t="b">
        <f>(10*(Y72-Y73)+W72-W73&lt;0)</f>
        <v>0</v>
      </c>
      <c r="AE73" s="10" t="s">
        <v>78</v>
      </c>
      <c r="AF73" s="10" t="b">
        <f>10*(Y73-Y74)+W73-W74&gt;0</f>
        <v>1</v>
      </c>
      <c r="AG73" s="35" t="b">
        <f>10*(Y73-Y75)+W73-W75&gt;0</f>
        <v>0</v>
      </c>
      <c r="AH73" s="34">
        <f>10000*(Z73+AB73)+(G71-E71+E76-G76)*100+(G71+E76)</f>
        <v>29901</v>
      </c>
      <c r="AI73" s="10">
        <f>10000*(Z73+AC73)+(G71-E71+G74-E74)*100+(G71+G74)</f>
        <v>9801</v>
      </c>
      <c r="AJ73" s="10" t="s">
        <v>78</v>
      </c>
      <c r="AK73" s="35">
        <f>10000*(AB73+AC73)+(G74-E74+E76-G76)*100+(G74+E76)</f>
        <v>40102</v>
      </c>
      <c r="AL73" s="47">
        <f>-AM72</f>
        <v>0.5</v>
      </c>
      <c r="AM73" s="10" t="s">
        <v>78</v>
      </c>
      <c r="AN73" s="36">
        <f>IF($V73&gt;$V74,-0.5,IF($V74&gt;$V73,0.5,IF(AF73,-0.5,IF(AE74,0.5,BD73))))</f>
        <v>-0.5</v>
      </c>
      <c r="AO73" s="37">
        <f>IF($V73&gt;$V75,-0.5,IF($V75&gt;$V73,0.5,IF(AG73,-0.5,IF(AE75,0.5,BE73))))</f>
        <v>0.5</v>
      </c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34"/>
      <c r="BC73" s="10" t="s">
        <v>78</v>
      </c>
      <c r="BD73" s="10">
        <f>IF($AX72,IF(G76-E76&lt;0,-0.5,IF(E76-G76&lt;0,0.5,0)),IF($AQ72,IF($AH73&gt;$AH74,-0.5,IF($AH73&lt;$AH74,0.5,0)),IF($AT72,IF($AK73&gt;$AK74,-0.5,IF($AK73&lt;$AK74,0.5,0)),0)))</f>
        <v>0</v>
      </c>
      <c r="BE73" s="35">
        <f>IF($AY72,IF(E74-G74&lt;0,-0.5,IF(G74-E74&lt;0,0.5,0)),IF($AR72,IF($AI73&gt;$AI75,-0.5,IF($AI73&lt;$AI75,0.5,0)),IF($AT72,IF($AK73&gt;$AK75,-0.5,IF($AK73&lt;$AK75,0.5,0)),0)))</f>
        <v>0</v>
      </c>
      <c r="BF73" s="8"/>
      <c r="BG73" s="8"/>
      <c r="BH73" s="8"/>
    </row>
    <row r="74" spans="2:60">
      <c r="B74" s="180">
        <v>46195.75</v>
      </c>
      <c r="C74" s="182" t="s">
        <v>88</v>
      </c>
      <c r="D74" s="17" t="str">
        <f>+Instructions!H28</f>
        <v>Norway (NOR)</v>
      </c>
      <c r="E74" s="151">
        <v>1</v>
      </c>
      <c r="F74" s="84" t="str">
        <f>+Instructions!H26</f>
        <v>Senegal (SEN)</v>
      </c>
      <c r="G74" s="151">
        <v>1</v>
      </c>
      <c r="H74" s="15"/>
      <c r="I74" s="8"/>
      <c r="J74" s="41">
        <f>Q74</f>
        <v>3</v>
      </c>
      <c r="K74" s="76" t="str">
        <f t="array" ref="K74">INDEX(U72:U75,MATCH(S74,$T72:$T75,0))</f>
        <v>SEN</v>
      </c>
      <c r="L74" s="54">
        <f t="array" ref="L74">INDEX(V72:V75,MATCH(S74,$T72:$T75,0))</f>
        <v>4</v>
      </c>
      <c r="M74" s="53">
        <f t="array" ref="M74">INDEX(W72:W75,MATCH(S74,$T72:$T75,0))</f>
        <v>2</v>
      </c>
      <c r="N74" s="54">
        <f t="array" ref="N74">INDEX(X72:X75,MATCH(S74,$T72:$T75,0))</f>
        <v>3</v>
      </c>
      <c r="O74" s="52">
        <f t="array" ref="O74">INDEX(Y72:Y75,MATCH(S74,$T72:$T75,0))</f>
        <v>-1</v>
      </c>
      <c r="P74" s="8"/>
      <c r="Q74" s="30">
        <f>IF(ROUND(S74,0)=ROUND(S73,0),Q73,3)</f>
        <v>3</v>
      </c>
      <c r="R74" s="30">
        <f>ROUND(S74,0)</f>
        <v>3</v>
      </c>
      <c r="S74" s="31">
        <f>+SMALL(T72:T75,3)</f>
        <v>2.96</v>
      </c>
      <c r="T74" s="46">
        <f>SUM(AL74:AO74)+2.47</f>
        <v>3.97</v>
      </c>
      <c r="U74" s="33" t="str">
        <f>+Instructions!I27</f>
        <v>IRQ</v>
      </c>
      <c r="V74" s="10">
        <f>SUM(Z74:AC74)</f>
        <v>0</v>
      </c>
      <c r="W74" s="34">
        <f>E72+G73+G76</f>
        <v>0</v>
      </c>
      <c r="X74" s="10">
        <f>G72+E73+E76</f>
        <v>5</v>
      </c>
      <c r="Y74" s="35">
        <f>W74-X74</f>
        <v>-5</v>
      </c>
      <c r="Z74" s="10">
        <f>IF(ISBLANK(G73),0,IF(AB72=3,0,IF(AB72=1,1,3)))</f>
        <v>0</v>
      </c>
      <c r="AA74" s="10">
        <f>IF(ISBLANK(G76),0,IF(G76&gt;E76,3,IF(G76=E76,1,0)))</f>
        <v>0</v>
      </c>
      <c r="AB74" s="10" t="s">
        <v>78</v>
      </c>
      <c r="AC74" s="10">
        <f>IF(ISBLANK(E72),0,IF(E72&gt;G72,3,IF(E72=G72,1,0)))</f>
        <v>0</v>
      </c>
      <c r="AD74" s="34" t="b">
        <f>10*(Y72-Y74)+W72-W74&lt;0</f>
        <v>0</v>
      </c>
      <c r="AE74" s="10" t="b">
        <f>10*(Y73-Y74)+W73-W74&lt;0</f>
        <v>0</v>
      </c>
      <c r="AF74" s="10" t="s">
        <v>78</v>
      </c>
      <c r="AG74" s="35" t="b">
        <f>10*(Y74-Y75)+W74-W75&gt;0</f>
        <v>0</v>
      </c>
      <c r="AH74" s="34">
        <f>10000*(Z74+AA74)+(G73-E73+G76-E76)*100+(G73+G76)</f>
        <v>-400</v>
      </c>
      <c r="AI74" s="10" t="s">
        <v>78</v>
      </c>
      <c r="AJ74" s="10">
        <f>10000*(Z74+AC74)+(E72-G72+G73-E73)*100+(E72+G73)</f>
        <v>-400</v>
      </c>
      <c r="AK74" s="35">
        <f>10000*(AA74+AC74)+(E72-G72+G76-E76)*100+(E72+G76)</f>
        <v>-200</v>
      </c>
      <c r="AL74" s="47">
        <f>-AN72</f>
        <v>0.5</v>
      </c>
      <c r="AM74" s="36">
        <f>-AN73</f>
        <v>0.5</v>
      </c>
      <c r="AN74" s="36" t="s">
        <v>78</v>
      </c>
      <c r="AO74" s="37">
        <f>IF($V74&gt;$V75,-0.5,IF($V75&gt;$V74,0.5,IF(AG74,-0.5,IF(AF75,0.5,BE74))))</f>
        <v>0.5</v>
      </c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34"/>
      <c r="BC74" s="10"/>
      <c r="BD74" s="10" t="s">
        <v>78</v>
      </c>
      <c r="BE74" s="35">
        <f>IF($AZ72,IF(G72-E72&lt;0,-0.5,IF(E72-G72&lt;0,0.5,0)),IF($AS72,IF($AJ74&gt;$AJ75,-0.5,IF($AJ74&lt;$AJ75,0.5,0)),IF($AT72,IF($AK74&gt;$AK75,-0.5,IF($AK74&lt;$AK75,0.5,0)),0)))</f>
        <v>0</v>
      </c>
      <c r="BF74" s="8"/>
      <c r="BG74" s="8"/>
      <c r="BH74" s="8"/>
    </row>
    <row r="75" spans="2:60">
      <c r="B75" s="180">
        <v>46199.541666666657</v>
      </c>
      <c r="C75" s="182" t="s">
        <v>89</v>
      </c>
      <c r="D75" s="17" t="str">
        <f>+Instructions!H28</f>
        <v>Norway (NOR)</v>
      </c>
      <c r="E75" s="151">
        <v>1</v>
      </c>
      <c r="F75" s="72" t="str">
        <f>+Instructions!H25</f>
        <v>France (FRA)</v>
      </c>
      <c r="G75" s="151">
        <v>3</v>
      </c>
      <c r="H75" s="15"/>
      <c r="I75" s="8"/>
      <c r="J75" s="55">
        <f>Q75</f>
        <v>4</v>
      </c>
      <c r="K75" s="56" t="str">
        <f t="array" ref="K75">INDEX(U72:U75,MATCH(S75,$T72:$T75,0))</f>
        <v>IRQ</v>
      </c>
      <c r="L75" s="57">
        <f t="array" ref="L75">INDEX(V72:V75,MATCH(S75,$T72:$T75,0))</f>
        <v>0</v>
      </c>
      <c r="M75" s="58">
        <f t="array" ref="M75">INDEX(W72:W75,MATCH(S75,$T72:$T75,0))</f>
        <v>0</v>
      </c>
      <c r="N75" s="57">
        <f t="array" ref="N75">INDEX(X72:X75,MATCH(S75,$T72:$T75,0))</f>
        <v>5</v>
      </c>
      <c r="O75" s="59">
        <f t="array" ref="O75">INDEX(Y72:Y75,MATCH(S75,$T72:$T75,0))</f>
        <v>-5</v>
      </c>
      <c r="P75" s="8"/>
      <c r="Q75" s="30">
        <f>IF(ROUND(S75,0)=ROUND(S74,0),Q74,4)</f>
        <v>4</v>
      </c>
      <c r="R75" s="30">
        <f>ROUND(S75,0)</f>
        <v>4</v>
      </c>
      <c r="S75" s="31">
        <f>+SMALL(T72:T75,4)</f>
        <v>3.97</v>
      </c>
      <c r="T75" s="60">
        <f>SUM(AL75:AO75)+2.48</f>
        <v>1.98</v>
      </c>
      <c r="U75" s="61" t="str">
        <f>+Instructions!I28</f>
        <v>NOR</v>
      </c>
      <c r="V75" s="38">
        <f>SUM(Z75:AC75)</f>
        <v>4</v>
      </c>
      <c r="W75" s="62">
        <f>G72+E74+E75</f>
        <v>3</v>
      </c>
      <c r="X75" s="38">
        <f>E72+G74+G75</f>
        <v>4</v>
      </c>
      <c r="Y75" s="63">
        <f>W75-X75</f>
        <v>-1</v>
      </c>
      <c r="Z75" s="38">
        <f>IF(ISBLANK(E75),0,IF(AC72=3,0,IF(AC72=1,1,3)))</f>
        <v>0</v>
      </c>
      <c r="AA75" s="38">
        <f>IF(ISBLANK(E74),0,IF(AC73=3,0,IF(AC73=1,1,3)))</f>
        <v>1</v>
      </c>
      <c r="AB75" s="38">
        <f>IF(ISBLANK(G72),0,IF(AC74=3,0,IF(AC74=1,1,3)))</f>
        <v>3</v>
      </c>
      <c r="AC75" s="38" t="s">
        <v>78</v>
      </c>
      <c r="AD75" s="62" t="b">
        <f>10*(Y72-Y75)+W72-W75&lt;0</f>
        <v>0</v>
      </c>
      <c r="AE75" s="38" t="b">
        <f>10*(Y73-Y75)+W73-W75&lt;0</f>
        <v>1</v>
      </c>
      <c r="AF75" s="38" t="b">
        <f>10*(Y74-Y75)+W74-W75&lt;0</f>
        <v>1</v>
      </c>
      <c r="AG75" s="63" t="s">
        <v>78</v>
      </c>
      <c r="AH75" s="62" t="s">
        <v>78</v>
      </c>
      <c r="AI75" s="38">
        <f>10000*(Z75+AA75)+(E74-G74+E75-G75)*100+(E74+E75)</f>
        <v>9802</v>
      </c>
      <c r="AJ75" s="38">
        <f>10000*(Z75+AB75)+(E75-G75+G72-E72)*100+(E75+G72)</f>
        <v>29902</v>
      </c>
      <c r="AK75" s="63">
        <f>10000*(AA75+AB75)+(E74-G74+G72-E72)*100+(E74+G72)</f>
        <v>40102</v>
      </c>
      <c r="AL75" s="64">
        <f>-AO72</f>
        <v>0.5</v>
      </c>
      <c r="AM75" s="65">
        <f>-AO73</f>
        <v>-0.5</v>
      </c>
      <c r="AN75" s="65">
        <f>-AO74</f>
        <v>-0.5</v>
      </c>
      <c r="AO75" s="63" t="s">
        <v>78</v>
      </c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62"/>
      <c r="BC75" s="38"/>
      <c r="BD75" s="38"/>
      <c r="BE75" s="63" t="s">
        <v>78</v>
      </c>
      <c r="BF75" s="8"/>
      <c r="BG75" s="8"/>
      <c r="BH75" s="8"/>
    </row>
    <row r="76" spans="2:60">
      <c r="B76" s="183">
        <v>46199.541666666657</v>
      </c>
      <c r="C76" s="184" t="s">
        <v>82</v>
      </c>
      <c r="D76" s="68" t="str">
        <f>+Instructions!H26</f>
        <v>Senegal (SEN)</v>
      </c>
      <c r="E76" s="151">
        <v>1</v>
      </c>
      <c r="F76" s="78" t="str">
        <f>+Instructions!H27</f>
        <v>Iraq (IRQ)</v>
      </c>
      <c r="G76" s="151">
        <v>0</v>
      </c>
      <c r="H76" s="15"/>
      <c r="I76" s="8"/>
      <c r="J76" s="10"/>
      <c r="K76" s="70" t="str">
        <f>IF(ISBLANK(G76)," ",+IF(OR(J74&lt;3,J73&lt;2),"TIE BREAK! Pick your qualifiers on the Knock-Out Predictions sheet"," "))</f>
        <v xml:space="preserve"> 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2:60" ht="18">
      <c r="B77" s="6"/>
      <c r="D77" s="3"/>
      <c r="E77" s="86"/>
      <c r="F77" s="3"/>
      <c r="G77" s="86"/>
      <c r="H77" s="15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2:60">
      <c r="B78" s="231" t="s">
        <v>101</v>
      </c>
      <c r="C78" s="232"/>
      <c r="D78" s="232"/>
      <c r="E78" s="232"/>
      <c r="F78" s="232"/>
      <c r="G78" s="233"/>
      <c r="H78" s="1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2:60" ht="17">
      <c r="B79" s="180">
        <v>46189.791666666657</v>
      </c>
      <c r="C79" s="181" t="s">
        <v>95</v>
      </c>
      <c r="D79" s="17" t="str">
        <f>+Instructions!H31</f>
        <v>Argentina (ARG)</v>
      </c>
      <c r="E79" s="150">
        <v>2</v>
      </c>
      <c r="F79" s="83" t="str">
        <f>+Instructions!H32</f>
        <v>Algeria (ALG)</v>
      </c>
      <c r="G79" s="150">
        <v>0</v>
      </c>
      <c r="H79" s="15"/>
      <c r="I79" s="8"/>
      <c r="J79" s="10"/>
      <c r="K79" s="178" t="s">
        <v>101</v>
      </c>
      <c r="L79" s="179" t="s">
        <v>42</v>
      </c>
      <c r="M79" s="206" t="s">
        <v>43</v>
      </c>
      <c r="N79" s="207" t="s">
        <v>368</v>
      </c>
      <c r="O79" s="207" t="s">
        <v>369</v>
      </c>
      <c r="P79" s="8"/>
      <c r="Q79" s="8"/>
      <c r="R79" s="8"/>
      <c r="S79" s="8"/>
      <c r="T79" s="19" t="s">
        <v>46</v>
      </c>
      <c r="U79" s="20" t="s">
        <v>47</v>
      </c>
      <c r="V79" s="21" t="s">
        <v>42</v>
      </c>
      <c r="W79" s="19" t="s">
        <v>43</v>
      </c>
      <c r="X79" s="21" t="s">
        <v>44</v>
      </c>
      <c r="Y79" s="22" t="s">
        <v>48</v>
      </c>
      <c r="Z79" s="21" t="s">
        <v>49</v>
      </c>
      <c r="AA79" s="21" t="s">
        <v>50</v>
      </c>
      <c r="AB79" s="21" t="s">
        <v>51</v>
      </c>
      <c r="AC79" s="21" t="s">
        <v>52</v>
      </c>
      <c r="AD79" s="19" t="s">
        <v>53</v>
      </c>
      <c r="AE79" s="21" t="s">
        <v>54</v>
      </c>
      <c r="AF79" s="21" t="s">
        <v>55</v>
      </c>
      <c r="AG79" s="22" t="s">
        <v>56</v>
      </c>
      <c r="AH79" s="19" t="s">
        <v>57</v>
      </c>
      <c r="AI79" s="21" t="s">
        <v>58</v>
      </c>
      <c r="AJ79" s="21" t="s">
        <v>59</v>
      </c>
      <c r="AK79" s="22" t="s">
        <v>60</v>
      </c>
      <c r="AL79" s="19" t="s">
        <v>61</v>
      </c>
      <c r="AM79" s="21" t="s">
        <v>62</v>
      </c>
      <c r="AN79" s="21" t="s">
        <v>63</v>
      </c>
      <c r="AO79" s="22" t="s">
        <v>64</v>
      </c>
      <c r="AP79" s="19" t="s">
        <v>65</v>
      </c>
      <c r="AQ79" s="21" t="s">
        <v>57</v>
      </c>
      <c r="AR79" s="21" t="s">
        <v>58</v>
      </c>
      <c r="AS79" s="21" t="s">
        <v>59</v>
      </c>
      <c r="AT79" s="21" t="s">
        <v>60</v>
      </c>
      <c r="AU79" s="21" t="s">
        <v>66</v>
      </c>
      <c r="AV79" s="21" t="s">
        <v>67</v>
      </c>
      <c r="AW79" s="21" t="s">
        <v>68</v>
      </c>
      <c r="AX79" s="21" t="s">
        <v>69</v>
      </c>
      <c r="AY79" s="21" t="s">
        <v>70</v>
      </c>
      <c r="AZ79" s="21" t="s">
        <v>71</v>
      </c>
      <c r="BA79" s="22" t="s">
        <v>72</v>
      </c>
      <c r="BB79" s="19" t="s">
        <v>73</v>
      </c>
      <c r="BC79" s="21" t="s">
        <v>74</v>
      </c>
      <c r="BD79" s="21" t="s">
        <v>75</v>
      </c>
      <c r="BE79" s="22" t="s">
        <v>76</v>
      </c>
      <c r="BF79" s="8"/>
      <c r="BG79" s="8"/>
      <c r="BH79" s="8"/>
    </row>
    <row r="80" spans="2:60">
      <c r="B80" s="180">
        <v>46189.916666666657</v>
      </c>
      <c r="C80" s="182" t="s">
        <v>83</v>
      </c>
      <c r="D80" s="17" t="str">
        <f>+Instructions!H33</f>
        <v>Austria (AUT)</v>
      </c>
      <c r="E80" s="151">
        <v>2</v>
      </c>
      <c r="F80" s="72" t="str">
        <f>+Instructions!H34</f>
        <v>Jordan (JOR)</v>
      </c>
      <c r="G80" s="151">
        <v>0</v>
      </c>
      <c r="H80" s="15"/>
      <c r="I80" s="8"/>
      <c r="J80" s="25">
        <f>Q80</f>
        <v>1</v>
      </c>
      <c r="K80" s="73" t="str">
        <f t="array" ref="K80">INDEX(U80:U83,MATCH(S80,$T80:$T83,0))</f>
        <v>ARG</v>
      </c>
      <c r="L80" s="27">
        <f t="array" ref="L80">INDEX(V80:V83,MATCH(S80,$T80:$T83,0))</f>
        <v>9</v>
      </c>
      <c r="M80" s="28">
        <f t="array" ref="M80">INDEX(W80:W83,MATCH(S80,$T80:$T83,0))</f>
        <v>8</v>
      </c>
      <c r="N80" s="27">
        <f t="array" ref="N80">INDEX(X80:X83,MATCH(S80,$T80:$T83,0))</f>
        <v>0</v>
      </c>
      <c r="O80" s="29">
        <f t="array" ref="O80">INDEX(Y80:Y83,MATCH(S80,$T80:$T83,0))</f>
        <v>8</v>
      </c>
      <c r="P80" s="8"/>
      <c r="Q80" s="30">
        <v>1</v>
      </c>
      <c r="R80" s="30">
        <f>ROUND(S80,0)</f>
        <v>1</v>
      </c>
      <c r="S80" s="31">
        <f>+SMALL(T80:T83,1)</f>
        <v>0.95000000000000018</v>
      </c>
      <c r="T80" s="32">
        <f>SUM(AL80:AO80)+2.45</f>
        <v>0.95000000000000018</v>
      </c>
      <c r="U80" s="33" t="str">
        <f>+Instructions!I31</f>
        <v>ARG</v>
      </c>
      <c r="V80" s="10">
        <f>SUM(Z80:AC80)</f>
        <v>9</v>
      </c>
      <c r="W80" s="34">
        <f>E79+E81+G83</f>
        <v>8</v>
      </c>
      <c r="X80" s="10">
        <f>G79+G81+E83</f>
        <v>0</v>
      </c>
      <c r="Y80" s="35">
        <f>W80-X80</f>
        <v>8</v>
      </c>
      <c r="Z80" s="10" t="s">
        <v>78</v>
      </c>
      <c r="AA80" s="10">
        <f>IF(ISBLANK(E79),0,IF(E79&gt;G79,3,IF(E79=G79,1,0)))</f>
        <v>3</v>
      </c>
      <c r="AB80" s="10">
        <f>IF(ISBLANK(E81),0,IF(E81&gt;G81,3,IF(E81=G81,1,0)))</f>
        <v>3</v>
      </c>
      <c r="AC80" s="10">
        <f>IF(ISBLANK(G83),0,IF(G83&gt;E83,3,IF(G83=E83,1,0)))</f>
        <v>3</v>
      </c>
      <c r="AD80" s="34" t="s">
        <v>78</v>
      </c>
      <c r="AE80" s="10" t="b">
        <f>(10*(Y80-Y81)+W80-W81&gt;0)</f>
        <v>1</v>
      </c>
      <c r="AF80" s="10" t="b">
        <f>10*(Y80-Y82)+W80-W82&gt;0</f>
        <v>1</v>
      </c>
      <c r="AG80" s="35" t="b">
        <f>10*(Y80-Y83)+W80-W83&gt;0</f>
        <v>1</v>
      </c>
      <c r="AH80" s="34">
        <f>10000*(AA80+AB80)+(E81-G81+E79-G79)*100+(E81+E79)</f>
        <v>60303</v>
      </c>
      <c r="AI80" s="10">
        <f>10000*(AA80+AC80)+(E79-G79+G83-E83)*100+(E79+G83)</f>
        <v>60707</v>
      </c>
      <c r="AJ80" s="10">
        <f>10000*(AB80+AC80)+(G83-E83+E81-G81)*100+(G83+E81)</f>
        <v>60606</v>
      </c>
      <c r="AK80" s="35" t="s">
        <v>78</v>
      </c>
      <c r="AL80" s="34" t="s">
        <v>78</v>
      </c>
      <c r="AM80" s="36">
        <f>IF($V80&gt;$V81,-0.5,IF($V81&gt;$V80,0.5,IF(AE80,-0.5,IF(AD81,0.5,BC80))))</f>
        <v>-0.5</v>
      </c>
      <c r="AN80" s="36">
        <f>IF($V80&gt;$V82,-0.5,IF($V82&gt;$V80,0.5,IF(AF80,-0.5,IF(AD82,0.5,BD80))))</f>
        <v>-0.5</v>
      </c>
      <c r="AO80" s="37">
        <f>IF($V80&gt;$V83,-0.5,IF($V83&gt;$V80,0.5,IF(AG80,-0.5,IF(AD83,0.5,BE80))))</f>
        <v>-0.5</v>
      </c>
      <c r="AP80" s="38" t="b">
        <f>AND(AND(V80=V81,V81=V82,V82=V83),AND(W80=W81,W81=W82,W82=W83),AND(X80=X81,X81=X82,X82=X83))</f>
        <v>0</v>
      </c>
      <c r="AQ80" s="38" t="b">
        <f>AND(NOT(AP80),V80=V81,V80=V82,W80=W81,W80=W82,X80=X81,X80=X82)</f>
        <v>0</v>
      </c>
      <c r="AR80" s="38" t="b">
        <f>AND(NOT(AP80),V80=V81,V80=V83,W80=W81,W80=W83,X80=X81,X80=X83)</f>
        <v>0</v>
      </c>
      <c r="AS80" s="38" t="b">
        <f>AND(NOT(AP80),V80=V82,V80=V83,W80=W82,W80=W83,X80=X82,X80=X83)</f>
        <v>0</v>
      </c>
      <c r="AT80" s="38" t="b">
        <f>AND(NOT(AP80),V81=V82,V81=V83,W81=W82,W81=W83,X81=X82,X81=X83)</f>
        <v>0</v>
      </c>
      <c r="AU80" s="38" t="b">
        <f>AND(NOT(AP80),NOT(AQ80),NOT(AR80),V80=V81,W80=W81,X80=X81)</f>
        <v>0</v>
      </c>
      <c r="AV80" s="38" t="b">
        <f>AND(NOT(AP80),NOT(AQ80),NOT(AS80),V80=V82,W80=W82,X80=X82)</f>
        <v>0</v>
      </c>
      <c r="AW80" s="38" t="b">
        <f>AND(NOT(AP80),NOT(AR80),NOT(AS80),V80=V83,W80=W83,X80=X83)</f>
        <v>0</v>
      </c>
      <c r="AX80" s="38" t="b">
        <f>AND(NOT(AP80),NOT(AQ80),NOT(AT80),V81=V82,W81=W82)</f>
        <v>0</v>
      </c>
      <c r="AY80" s="38" t="b">
        <f>AND(NOT(AP80),NOT(AR80),NOT(AT80),V81=V83,W81=W83,X81=X83)</f>
        <v>0</v>
      </c>
      <c r="AZ80" s="38" t="b">
        <f>AND(NOT(AP80),NOT(AS80),NOT(AT80),V82=V83,W82=W83,X82=X83)</f>
        <v>0</v>
      </c>
      <c r="BA80" s="38" t="b">
        <f t="array" ref="BA80">AND(NOT(AP80:AZ80))</f>
        <v>1</v>
      </c>
      <c r="BB80" s="34" t="s">
        <v>78</v>
      </c>
      <c r="BC80" s="10">
        <f>IF($AU80,IF(G79-E79&lt;0,-0.5,IF(E79-G79&lt;0,0.5,0)),IF($AQ80,IF($AH80&gt;$AH81,-0.5,IF($AH80&lt;$AH81,0.5,0)),IF($AR80,IF($AI80&gt;$AI81,-0.5, IF($AI80&lt;$AI81,0.5,0)),0)))</f>
        <v>0</v>
      </c>
      <c r="BD80" s="10">
        <f>IF($AV80,IF(G81-E81&lt;0,-0.5,IF(E81-G81&lt;0,0.5,0)),IF($AQ80,IF($AH80&gt;$AH82,-0.5,IF($AH80&lt;$AH82,0.5,0)),IF($AS80,IF($AJ80&gt;$AJ82,-0.5,IF($AJ80&lt;$AJ82,0.5,0)),0)))</f>
        <v>0</v>
      </c>
      <c r="BE80" s="35">
        <f>IF($AW80,IF(E83-G83&lt;0,-0.5,IF(G83-E83&lt;0,0.5,0)),IF($AR80,IF($AI80&gt;$AI83,-0.5,IF($AI80&lt;$AI83,0.5,0)),IF($AS80,IF($AJ80&gt;$AJ83,-0.5, IF($AJ80&lt;$AJ83,0.5,0)),0)))</f>
        <v>0</v>
      </c>
      <c r="BF80" s="8"/>
      <c r="BG80" s="8"/>
      <c r="BH80" s="8"/>
    </row>
    <row r="81" spans="2:60">
      <c r="B81" s="180">
        <v>46195.458333333343</v>
      </c>
      <c r="C81" s="182" t="s">
        <v>97</v>
      </c>
      <c r="D81" s="17" t="str">
        <f>+Instructions!H31</f>
        <v>Argentina (ARG)</v>
      </c>
      <c r="E81" s="151">
        <v>1</v>
      </c>
      <c r="F81" s="72" t="str">
        <f>+Instructions!H33</f>
        <v>Austria (AUT)</v>
      </c>
      <c r="G81" s="151">
        <v>0</v>
      </c>
      <c r="H81" s="15"/>
      <c r="I81" s="8"/>
      <c r="J81" s="41">
        <f>Q81</f>
        <v>2</v>
      </c>
      <c r="K81" s="74" t="str">
        <f t="array" ref="K81">INDEX(U80:U83,MATCH(S81,$T80:$T83,0))</f>
        <v>AUT</v>
      </c>
      <c r="L81" s="43">
        <f t="array" ref="L81">INDEX(V80:V83,MATCH(S81,$T80:$T83,0))</f>
        <v>6</v>
      </c>
      <c r="M81" s="44">
        <f t="array" ref="M81">INDEX(W80:W83,MATCH(S81,$T80:$T83,0))</f>
        <v>3</v>
      </c>
      <c r="N81" s="43">
        <f t="array" ref="N81">INDEX(X80:X83,MATCH(S81,$T80:$T83,0))</f>
        <v>1</v>
      </c>
      <c r="O81" s="45">
        <f t="array" ref="O81">INDEX(Y80:Y83,MATCH(S81,$T80:$T83,0))</f>
        <v>2</v>
      </c>
      <c r="P81" s="8"/>
      <c r="Q81" s="30">
        <f>IF(ROUND(S81,0)=ROUND(S80,0),Q80,2)</f>
        <v>2</v>
      </c>
      <c r="R81" s="30">
        <f>ROUND(S81,0)</f>
        <v>2</v>
      </c>
      <c r="S81" s="31">
        <f>+SMALL(T80:T83,2)</f>
        <v>1.9700000000000002</v>
      </c>
      <c r="T81" s="46">
        <f>SUM(AL81:AO81)+2.46</f>
        <v>2.96</v>
      </c>
      <c r="U81" s="33" t="str">
        <f>+Instructions!I32</f>
        <v>ALG</v>
      </c>
      <c r="V81" s="10">
        <f>SUM(Z81:AC81)</f>
        <v>3</v>
      </c>
      <c r="W81" s="34">
        <f>G79+G82+E84</f>
        <v>1</v>
      </c>
      <c r="X81" s="10">
        <f>E79+E82+G84</f>
        <v>3</v>
      </c>
      <c r="Y81" s="35">
        <f>W81-X81</f>
        <v>-2</v>
      </c>
      <c r="Z81" s="10">
        <f>IF(ISBLANK(G79),0,IF(AA80=3,0,IF(AA80=1,1,3)))</f>
        <v>0</v>
      </c>
      <c r="AA81" s="10" t="s">
        <v>78</v>
      </c>
      <c r="AB81" s="10">
        <f>IF(ISBLANK(E84),0,IF(AA82=3,0,IF(AA82=1,1,3)))</f>
        <v>0</v>
      </c>
      <c r="AC81" s="10">
        <f>IF(ISBLANK(G82),0,IF(G82&gt;E82,3,IF(G82=E82,1,0)))</f>
        <v>3</v>
      </c>
      <c r="AD81" s="34" t="b">
        <f>(10*(Y80-Y81)+W80-W81&lt;0)</f>
        <v>0</v>
      </c>
      <c r="AE81" s="10" t="s">
        <v>78</v>
      </c>
      <c r="AF81" s="10" t="b">
        <f>10*(Y81-Y82)+W81-W82&gt;0</f>
        <v>0</v>
      </c>
      <c r="AG81" s="35" t="b">
        <f>10*(Y81-Y83)+W81-W83&gt;0</f>
        <v>1</v>
      </c>
      <c r="AH81" s="34">
        <f>10000*(Z81+AB81)+(G79-E79+E84-G84)*100+(G79+E84)</f>
        <v>-300</v>
      </c>
      <c r="AI81" s="10">
        <f>10000*(Z81+AC81)+(G79-E79+G82-E82)*100+(G79+G82)</f>
        <v>29901</v>
      </c>
      <c r="AJ81" s="10" t="s">
        <v>78</v>
      </c>
      <c r="AK81" s="35">
        <f>10000*(AB81+AC81)+(G82-E82+E84-G84)*100+(G82+E84)</f>
        <v>30001</v>
      </c>
      <c r="AL81" s="47">
        <f>-AM80</f>
        <v>0.5</v>
      </c>
      <c r="AM81" s="10" t="s">
        <v>78</v>
      </c>
      <c r="AN81" s="36">
        <f>IF($V81&gt;$V82,-0.5,IF($V82&gt;$V81,0.5,IF(AF81,-0.5,IF(AE82,0.5,BD81))))</f>
        <v>0.5</v>
      </c>
      <c r="AO81" s="37">
        <f>IF($V81&gt;$V83,-0.5,IF($V83&gt;$V81,0.5,IF(AG81,-0.5,IF(AE83,0.5,BE81))))</f>
        <v>-0.5</v>
      </c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34"/>
      <c r="BC81" s="10" t="s">
        <v>78</v>
      </c>
      <c r="BD81" s="10">
        <f>IF($AX80,IF(G84-E84&lt;0,-0.5,IF(E84-G84&lt;0,0.5,0)),IF($AQ80,IF($AH81&gt;$AH82,-0.5,IF($AH81&lt;$AH82,0.5,0)),IF($AT80,IF($AK81&gt;$AK82,-0.5,IF($AK81&lt;$AK82,0.5,0)),0)))</f>
        <v>0</v>
      </c>
      <c r="BE81" s="35">
        <f>IF($AY80,IF(E82-G82&lt;0,-0.5,IF(G82-E82&lt;0,0.5,0)),IF($AR80,IF($AI81&gt;$AI83,-0.5,IF($AI81&lt;$AI83,0.5,0)),IF($AT80,IF($AK81&gt;$AK83,-0.5,IF($AK81&lt;$AK83,0.5,0)),0)))</f>
        <v>0</v>
      </c>
      <c r="BF81" s="8"/>
      <c r="BG81" s="8"/>
      <c r="BH81" s="8"/>
    </row>
    <row r="82" spans="2:60">
      <c r="B82" s="180">
        <v>46195.875</v>
      </c>
      <c r="C82" s="182" t="s">
        <v>83</v>
      </c>
      <c r="D82" s="17" t="str">
        <f>+Instructions!H34</f>
        <v>Jordan (JOR)</v>
      </c>
      <c r="E82" s="151">
        <v>0</v>
      </c>
      <c r="F82" s="84" t="str">
        <f>+Instructions!H32</f>
        <v>Algeria (ALG)</v>
      </c>
      <c r="G82" s="151">
        <v>1</v>
      </c>
      <c r="H82" s="15"/>
      <c r="I82" s="8"/>
      <c r="J82" s="41">
        <f>Q82</f>
        <v>3</v>
      </c>
      <c r="K82" s="76" t="str">
        <f t="array" ref="K82">INDEX(U80:U83,MATCH(S82,$T80:$T83,0))</f>
        <v>ALG</v>
      </c>
      <c r="L82" s="54">
        <f t="array" ref="L82">INDEX(V80:V83,MATCH(S82,$T80:$T83,0))</f>
        <v>3</v>
      </c>
      <c r="M82" s="53">
        <f t="array" ref="M82">INDEX(W80:W83,MATCH(S82,$T80:$T83,0))</f>
        <v>1</v>
      </c>
      <c r="N82" s="54">
        <f t="array" ref="N82">INDEX(X80:X83,MATCH(S82,$T80:$T83,0))</f>
        <v>3</v>
      </c>
      <c r="O82" s="52">
        <f t="array" ref="O82">INDEX(Y80:Y83,MATCH(S82,$T80:$T83,0))</f>
        <v>-2</v>
      </c>
      <c r="P82" s="8"/>
      <c r="Q82" s="30">
        <f>IF(ROUND(S82,0)=ROUND(S81,0),Q81,3)</f>
        <v>3</v>
      </c>
      <c r="R82" s="30">
        <f>ROUND(S82,0)</f>
        <v>3</v>
      </c>
      <c r="S82" s="31">
        <f>+SMALL(T80:T83,3)</f>
        <v>2.96</v>
      </c>
      <c r="T82" s="46">
        <f>SUM(AL82:AO82)+2.47</f>
        <v>1.9700000000000002</v>
      </c>
      <c r="U82" s="33" t="str">
        <f>+Instructions!I33</f>
        <v>AUT</v>
      </c>
      <c r="V82" s="10">
        <f>SUM(Z82:AC82)</f>
        <v>6</v>
      </c>
      <c r="W82" s="34">
        <f>E80+G81+G84</f>
        <v>3</v>
      </c>
      <c r="X82" s="10">
        <f>G80+E81+E84</f>
        <v>1</v>
      </c>
      <c r="Y82" s="35">
        <f>W82-X82</f>
        <v>2</v>
      </c>
      <c r="Z82" s="10">
        <f>IF(ISBLANK(G81),0,IF(AB80=3,0,IF(AB80=1,1,3)))</f>
        <v>0</v>
      </c>
      <c r="AA82" s="10">
        <f>IF(ISBLANK(G84),0,IF(G84&gt;E84,3,IF(G84=E84,1,0)))</f>
        <v>3</v>
      </c>
      <c r="AB82" s="10" t="s">
        <v>78</v>
      </c>
      <c r="AC82" s="10">
        <f>IF(ISBLANK(E80),0,IF(E80&gt;G80,3,IF(E80=G80,1,0)))</f>
        <v>3</v>
      </c>
      <c r="AD82" s="34" t="b">
        <f>10*(Y80-Y82)+W80-W82&lt;0</f>
        <v>0</v>
      </c>
      <c r="AE82" s="10" t="b">
        <f>10*(Y81-Y82)+W81-W82&lt;0</f>
        <v>1</v>
      </c>
      <c r="AF82" s="10" t="s">
        <v>78</v>
      </c>
      <c r="AG82" s="35" t="b">
        <f>10*(Y82-Y83)+W82-W83&gt;0</f>
        <v>1</v>
      </c>
      <c r="AH82" s="34">
        <f>10000*(Z82+AA82)+(G81-E81+G84-E84)*100+(G81+G84)</f>
        <v>30001</v>
      </c>
      <c r="AI82" s="10" t="s">
        <v>78</v>
      </c>
      <c r="AJ82" s="10">
        <f>10000*(Z82+AC82)+(E80-G80+G81-E81)*100+(E80+G81)</f>
        <v>30102</v>
      </c>
      <c r="AK82" s="35">
        <f>10000*(AA82+AC82)+(E80-G80+G84-E84)*100+(E80+G84)</f>
        <v>60303</v>
      </c>
      <c r="AL82" s="47">
        <f>-AN80</f>
        <v>0.5</v>
      </c>
      <c r="AM82" s="36">
        <f>-AN81</f>
        <v>-0.5</v>
      </c>
      <c r="AN82" s="36" t="s">
        <v>78</v>
      </c>
      <c r="AO82" s="37">
        <f>IF($V82&gt;$V83,-0.5,IF($V83&gt;$V82,0.5,IF(AG82,-0.5,IF(AF83,0.5,BE82))))</f>
        <v>-0.5</v>
      </c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34"/>
      <c r="BC82" s="10"/>
      <c r="BD82" s="10" t="s">
        <v>78</v>
      </c>
      <c r="BE82" s="35">
        <f>IF($AZ80,IF(G80-E80&lt;0,-0.5,IF(E80-G80&lt;0,0.5,0)),IF($AS80,IF($AJ82&gt;$AJ83,-0.5,IF($AJ82&lt;$AJ83,0.5,0)),IF($AT80,IF($AK82&gt;$AK83,-0.5,IF($AK82&lt;$AK83,0.5,0)),0)))</f>
        <v>0</v>
      </c>
      <c r="BF82" s="8"/>
      <c r="BG82" s="8"/>
      <c r="BH82" s="8"/>
    </row>
    <row r="83" spans="2:60">
      <c r="B83" s="180">
        <v>46200.833333333343</v>
      </c>
      <c r="C83" s="182" t="s">
        <v>97</v>
      </c>
      <c r="D83" s="17" t="str">
        <f>+Instructions!H34</f>
        <v>Jordan (JOR)</v>
      </c>
      <c r="E83" s="151">
        <v>0</v>
      </c>
      <c r="F83" s="72" t="str">
        <f>+Instructions!H31</f>
        <v>Argentina (ARG)</v>
      </c>
      <c r="G83" s="151">
        <v>5</v>
      </c>
      <c r="H83" s="15"/>
      <c r="I83" s="8"/>
      <c r="J83" s="55">
        <f>Q83</f>
        <v>4</v>
      </c>
      <c r="K83" s="56" t="str">
        <f t="array" ref="K83">INDEX(U80:U83,MATCH(S83,$T80:$T83,0))</f>
        <v>JOR</v>
      </c>
      <c r="L83" s="57">
        <f t="array" ref="L83">INDEX(V80:V83,MATCH(S83,$T80:$T83,0))</f>
        <v>0</v>
      </c>
      <c r="M83" s="58">
        <f t="array" ref="M83">INDEX(W80:W83,MATCH(S83,$T80:$T83,0))</f>
        <v>0</v>
      </c>
      <c r="N83" s="57">
        <f t="array" ref="N83">INDEX(X80:X83,MATCH(S83,$T80:$T83,0))</f>
        <v>8</v>
      </c>
      <c r="O83" s="59">
        <f t="array" ref="O83">INDEX(Y80:Y83,MATCH(S83,$T80:$T83,0))</f>
        <v>-8</v>
      </c>
      <c r="P83" s="8"/>
      <c r="Q83" s="30">
        <f>IF(ROUND(S83,0)=ROUND(S82,0),Q82,4)</f>
        <v>4</v>
      </c>
      <c r="R83" s="30">
        <f>ROUND(S83,0)</f>
        <v>4</v>
      </c>
      <c r="S83" s="31">
        <f>+SMALL(T80:T83,4)</f>
        <v>3.98</v>
      </c>
      <c r="T83" s="60">
        <f>SUM(AL83:AO83)+2.48</f>
        <v>3.98</v>
      </c>
      <c r="U83" s="61" t="str">
        <f>+Instructions!I34</f>
        <v>JOR</v>
      </c>
      <c r="V83" s="38">
        <f>SUM(Z83:AC83)</f>
        <v>0</v>
      </c>
      <c r="W83" s="62">
        <f>G80+E82+E83</f>
        <v>0</v>
      </c>
      <c r="X83" s="38">
        <f>E80+G82+G83</f>
        <v>8</v>
      </c>
      <c r="Y83" s="63">
        <f>W83-X83</f>
        <v>-8</v>
      </c>
      <c r="Z83" s="38">
        <f>IF(ISBLANK(E83),0,IF(AC80=3,0,IF(AC80=1,1,3)))</f>
        <v>0</v>
      </c>
      <c r="AA83" s="38">
        <f>IF(ISBLANK(E82),0,IF(AC81=3,0,IF(AC81=1,1,3)))</f>
        <v>0</v>
      </c>
      <c r="AB83" s="38">
        <f>IF(ISBLANK(G80),0,IF(AC82=3,0,IF(AC82=1,1,3)))</f>
        <v>0</v>
      </c>
      <c r="AC83" s="38" t="s">
        <v>78</v>
      </c>
      <c r="AD83" s="62" t="b">
        <f>10*(Y80-Y83)+W80-W83&lt;0</f>
        <v>0</v>
      </c>
      <c r="AE83" s="38" t="b">
        <f>10*(Y81-Y83)+W81-W83&lt;0</f>
        <v>0</v>
      </c>
      <c r="AF83" s="38" t="b">
        <f>10*(Y82-Y83)+W82-W83&lt;0</f>
        <v>0</v>
      </c>
      <c r="AG83" s="63" t="s">
        <v>78</v>
      </c>
      <c r="AH83" s="62" t="s">
        <v>78</v>
      </c>
      <c r="AI83" s="38">
        <f>10000*(Z83+AA83)+(E82-G82+E83-G83)*100+(E82+E83)</f>
        <v>-600</v>
      </c>
      <c r="AJ83" s="38">
        <f>10000*(Z83+AB83)+(E83-G83+G80-E80)*100+(E83+G80)</f>
        <v>-700</v>
      </c>
      <c r="AK83" s="63">
        <f>10000*(AA83+AB83)+(E82-G82+G80-E80)*100+(E82+G80)</f>
        <v>-300</v>
      </c>
      <c r="AL83" s="64">
        <f>-AO80</f>
        <v>0.5</v>
      </c>
      <c r="AM83" s="65">
        <f>-AO81</f>
        <v>0.5</v>
      </c>
      <c r="AN83" s="65">
        <f>-AO82</f>
        <v>0.5</v>
      </c>
      <c r="AO83" s="63" t="s">
        <v>78</v>
      </c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62"/>
      <c r="BC83" s="38"/>
      <c r="BD83" s="38"/>
      <c r="BE83" s="63" t="s">
        <v>78</v>
      </c>
      <c r="BF83" s="8"/>
      <c r="BG83" s="8"/>
      <c r="BH83" s="8"/>
    </row>
    <row r="84" spans="2:60">
      <c r="B84" s="183">
        <v>46200.833333333343</v>
      </c>
      <c r="C84" s="184" t="s">
        <v>95</v>
      </c>
      <c r="D84" s="68" t="str">
        <f>+Instructions!H32</f>
        <v>Algeria (ALG)</v>
      </c>
      <c r="E84" s="151">
        <v>0</v>
      </c>
      <c r="F84" s="78" t="str">
        <f>+Instructions!H33</f>
        <v>Austria (AUT)</v>
      </c>
      <c r="G84" s="151">
        <v>1</v>
      </c>
      <c r="H84" s="15"/>
      <c r="I84" s="8"/>
      <c r="J84" s="10"/>
      <c r="K84" s="70" t="str">
        <f>IF(ISBLANK(G84)," ",+IF(OR(J82&lt;3,J81&lt;2),"TIE BREAK! Pick your qualifiers on the Knock-Out Predictions sheet"," "))</f>
        <v xml:space="preserve"> 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2:60" ht="18">
      <c r="B85" s="6"/>
      <c r="D85" s="3"/>
      <c r="E85" s="86"/>
      <c r="F85" s="3"/>
      <c r="G85" s="86"/>
      <c r="H85" s="15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2:60">
      <c r="B86" s="231" t="s">
        <v>102</v>
      </c>
      <c r="C86" s="232"/>
      <c r="D86" s="232"/>
      <c r="E86" s="232"/>
      <c r="F86" s="232"/>
      <c r="G86" s="233"/>
      <c r="H86" s="1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2:60" ht="18">
      <c r="B87" s="180">
        <v>46190.458333333343</v>
      </c>
      <c r="C87" s="181" t="s">
        <v>94</v>
      </c>
      <c r="D87" s="17" t="str">
        <f>+Instructions!H37</f>
        <v>Portugal (POR)</v>
      </c>
      <c r="E87" s="150">
        <v>2</v>
      </c>
      <c r="F87" s="83" t="str">
        <f>+Instructions!H38</f>
        <v>DR Congo (COD)</v>
      </c>
      <c r="G87" s="152">
        <v>0</v>
      </c>
      <c r="H87" s="15"/>
      <c r="I87" s="8"/>
      <c r="J87" s="10"/>
      <c r="K87" s="178" t="s">
        <v>102</v>
      </c>
      <c r="L87" s="179" t="s">
        <v>42</v>
      </c>
      <c r="M87" s="206" t="s">
        <v>43</v>
      </c>
      <c r="N87" s="207" t="s">
        <v>368</v>
      </c>
      <c r="O87" s="207" t="s">
        <v>369</v>
      </c>
      <c r="P87" s="8"/>
      <c r="Q87" s="8"/>
      <c r="R87" s="8"/>
      <c r="S87" s="8"/>
      <c r="T87" s="19" t="s">
        <v>46</v>
      </c>
      <c r="U87" s="20" t="s">
        <v>47</v>
      </c>
      <c r="V87" s="21" t="s">
        <v>42</v>
      </c>
      <c r="W87" s="19" t="s">
        <v>43</v>
      </c>
      <c r="X87" s="21" t="s">
        <v>44</v>
      </c>
      <c r="Y87" s="22" t="s">
        <v>48</v>
      </c>
      <c r="Z87" s="21" t="s">
        <v>49</v>
      </c>
      <c r="AA87" s="21" t="s">
        <v>50</v>
      </c>
      <c r="AB87" s="21" t="s">
        <v>51</v>
      </c>
      <c r="AC87" s="21" t="s">
        <v>52</v>
      </c>
      <c r="AD87" s="19" t="s">
        <v>53</v>
      </c>
      <c r="AE87" s="21" t="s">
        <v>54</v>
      </c>
      <c r="AF87" s="21" t="s">
        <v>55</v>
      </c>
      <c r="AG87" s="22" t="s">
        <v>56</v>
      </c>
      <c r="AH87" s="19" t="s">
        <v>57</v>
      </c>
      <c r="AI87" s="21" t="s">
        <v>58</v>
      </c>
      <c r="AJ87" s="21" t="s">
        <v>59</v>
      </c>
      <c r="AK87" s="22" t="s">
        <v>60</v>
      </c>
      <c r="AL87" s="19" t="s">
        <v>61</v>
      </c>
      <c r="AM87" s="21" t="s">
        <v>62</v>
      </c>
      <c r="AN87" s="21" t="s">
        <v>63</v>
      </c>
      <c r="AO87" s="22" t="s">
        <v>64</v>
      </c>
      <c r="AP87" s="19" t="s">
        <v>65</v>
      </c>
      <c r="AQ87" s="21" t="s">
        <v>57</v>
      </c>
      <c r="AR87" s="21" t="s">
        <v>58</v>
      </c>
      <c r="AS87" s="21" t="s">
        <v>59</v>
      </c>
      <c r="AT87" s="21" t="s">
        <v>60</v>
      </c>
      <c r="AU87" s="21" t="s">
        <v>66</v>
      </c>
      <c r="AV87" s="21" t="s">
        <v>67</v>
      </c>
      <c r="AW87" s="21" t="s">
        <v>68</v>
      </c>
      <c r="AX87" s="21" t="s">
        <v>69</v>
      </c>
      <c r="AY87" s="21" t="s">
        <v>70</v>
      </c>
      <c r="AZ87" s="21" t="s">
        <v>71</v>
      </c>
      <c r="BA87" s="22" t="s">
        <v>72</v>
      </c>
      <c r="BB87" s="19" t="s">
        <v>73</v>
      </c>
      <c r="BC87" s="21" t="s">
        <v>74</v>
      </c>
      <c r="BD87" s="21" t="s">
        <v>75</v>
      </c>
      <c r="BE87" s="22" t="s">
        <v>76</v>
      </c>
      <c r="BF87" s="8"/>
      <c r="BG87" s="8"/>
      <c r="BH87" s="8"/>
    </row>
    <row r="88" spans="2:60" ht="18">
      <c r="B88" s="180">
        <v>46190.833333333343</v>
      </c>
      <c r="C88" s="182" t="s">
        <v>41</v>
      </c>
      <c r="D88" s="17" t="str">
        <f>+Instructions!H39</f>
        <v>Uzbekistan (UZB)</v>
      </c>
      <c r="E88" s="151">
        <v>0</v>
      </c>
      <c r="F88" s="72" t="str">
        <f>+Instructions!H40</f>
        <v>Colombia (COL)</v>
      </c>
      <c r="G88" s="153">
        <v>2</v>
      </c>
      <c r="H88" s="15"/>
      <c r="I88" s="8"/>
      <c r="J88" s="25">
        <f>Q88</f>
        <v>1</v>
      </c>
      <c r="K88" s="73" t="str">
        <f t="array" ref="K88">INDEX(U88:U91,MATCH(S88,$T88:$T91,0))</f>
        <v>POR</v>
      </c>
      <c r="L88" s="27">
        <f t="array" ref="L88">INDEX(V88:V91,MATCH(S88,$T88:$T91,0))</f>
        <v>9</v>
      </c>
      <c r="M88" s="28">
        <f t="array" ref="M88">INDEX(W88:W91,MATCH(S88,$T88:$T91,0))</f>
        <v>6</v>
      </c>
      <c r="N88" s="27">
        <f t="array" ref="N88">INDEX(X88:X91,MATCH(S88,$T88:$T91,0))</f>
        <v>0</v>
      </c>
      <c r="O88" s="29">
        <f t="array" ref="O88">INDEX(Y88:Y91,MATCH(S88,$T88:$T91,0))</f>
        <v>6</v>
      </c>
      <c r="P88" s="8"/>
      <c r="Q88" s="30">
        <v>1</v>
      </c>
      <c r="R88" s="30">
        <f>ROUND(S88,0)</f>
        <v>1</v>
      </c>
      <c r="S88" s="31">
        <f>+SMALL(T88:T91,1)</f>
        <v>0.95000000000000018</v>
      </c>
      <c r="T88" s="32">
        <f>SUM(AL88:AO88)+2.45</f>
        <v>0.95000000000000018</v>
      </c>
      <c r="U88" s="33" t="str">
        <f>+Instructions!I37</f>
        <v>POR</v>
      </c>
      <c r="V88" s="10">
        <f>SUM(Z88:AC88)</f>
        <v>9</v>
      </c>
      <c r="W88" s="34">
        <f>E87+E89+G91</f>
        <v>6</v>
      </c>
      <c r="X88" s="10">
        <f>G87+G89+E91</f>
        <v>0</v>
      </c>
      <c r="Y88" s="35">
        <f>W88-X88</f>
        <v>6</v>
      </c>
      <c r="Z88" s="10" t="s">
        <v>78</v>
      </c>
      <c r="AA88" s="10">
        <f>IF(ISBLANK(E87),0,IF(E87&gt;G87,3,IF(E87=G87,1,0)))</f>
        <v>3</v>
      </c>
      <c r="AB88" s="10">
        <f>IF(ISBLANK(E89),0,IF(E89&gt;G89,3,IF(E89=G89,1,0)))</f>
        <v>3</v>
      </c>
      <c r="AC88" s="10">
        <f>IF(ISBLANK(G91),0,IF(G91&gt;E91,3,IF(G91=E91,1,0)))</f>
        <v>3</v>
      </c>
      <c r="AD88" s="34" t="s">
        <v>78</v>
      </c>
      <c r="AE88" s="10" t="b">
        <f>(10*(Y88-Y89)+W88-W89&gt;0)</f>
        <v>1</v>
      </c>
      <c r="AF88" s="10" t="b">
        <f>10*(Y88-Y90)+W88-W90&gt;0</f>
        <v>1</v>
      </c>
      <c r="AG88" s="35" t="b">
        <f>10*(Y88-Y91)+W88-W91&gt;0</f>
        <v>1</v>
      </c>
      <c r="AH88" s="34">
        <f>10000*(AA88+AB88)+(E89-G89+E87-G87)*100+(E89+E87)</f>
        <v>60505</v>
      </c>
      <c r="AI88" s="10">
        <f>10000*(AA88+AC88)+(E87-G87+G91-E91)*100+(E87+G91)</f>
        <v>60303</v>
      </c>
      <c r="AJ88" s="10">
        <f>10000*(AB88+AC88)+(G91-E91+E89-G89)*100+(G91+E89)</f>
        <v>60404</v>
      </c>
      <c r="AK88" s="35" t="s">
        <v>78</v>
      </c>
      <c r="AL88" s="34" t="s">
        <v>78</v>
      </c>
      <c r="AM88" s="36">
        <f>IF($V88&gt;$V89,-0.5,IF($V89&gt;$V88,0.5,IF(AE88,-0.5,IF(AD89,0.5,BC88))))</f>
        <v>-0.5</v>
      </c>
      <c r="AN88" s="36">
        <f>IF($V88&gt;$V90,-0.5,IF($V90&gt;$V88,0.5,IF(AF88,-0.5,IF(AD90,0.5,BD88))))</f>
        <v>-0.5</v>
      </c>
      <c r="AO88" s="37">
        <f>IF($V88&gt;$V91,-0.5,IF($V91&gt;$V88,0.5,IF(AG88,-0.5,IF(AD91,0.5,BE88))))</f>
        <v>-0.5</v>
      </c>
      <c r="AP88" s="38" t="b">
        <f>AND(AND(V88=V89,V89=V90,V90=V91),AND(W88=W89,W89=W90,W90=W91),AND(X88=X89,X89=X90,X90=X91))</f>
        <v>0</v>
      </c>
      <c r="AQ88" s="38" t="b">
        <f>AND(NOT(AP88),V88=V89,V88=V90,W88=W89,W88=W90,X88=X89,X88=X90)</f>
        <v>0</v>
      </c>
      <c r="AR88" s="38" t="b">
        <f>AND(NOT(AP88),V88=V89,V88=V91,W88=W89,W88=W91,X88=X89,X88=X91)</f>
        <v>0</v>
      </c>
      <c r="AS88" s="38" t="b">
        <f>AND(NOT(AP88),V88=V90,V88=V91,W88=W90,W88=W91,X88=X90,X88=X91)</f>
        <v>0</v>
      </c>
      <c r="AT88" s="38" t="b">
        <f>AND(NOT(AP88),V89=V90,V89=V91,W89=W90,W89=W91,X89=X90,X89=X91)</f>
        <v>0</v>
      </c>
      <c r="AU88" s="38" t="b">
        <f>AND(NOT(AP88),NOT(AQ88),NOT(AR88),V88=V89,W88=W89,X88=X89)</f>
        <v>0</v>
      </c>
      <c r="AV88" s="38" t="b">
        <f>AND(NOT(AP88),NOT(AQ88),NOT(AS88),V88=V90,W88=W90,X88=X90)</f>
        <v>0</v>
      </c>
      <c r="AW88" s="38" t="b">
        <f>AND(NOT(AP88),NOT(AR88),NOT(AS88),V88=V91,W88=W91,X88=X91)</f>
        <v>0</v>
      </c>
      <c r="AX88" s="38" t="b">
        <f>AND(NOT(AP88),NOT(AQ88),NOT(AT88),V89=V90,W89=W90)</f>
        <v>0</v>
      </c>
      <c r="AY88" s="38" t="b">
        <f>AND(NOT(AP88),NOT(AR88),NOT(AT88),V89=V91,W89=W91,X89=X91)</f>
        <v>0</v>
      </c>
      <c r="AZ88" s="38" t="b">
        <f>AND(NOT(AP88),NOT(AS88),NOT(AT88),V90=V91,W90=W91,X90=X91)</f>
        <v>0</v>
      </c>
      <c r="BA88" s="38" t="b">
        <f t="array" ref="BA88">AND(NOT(AP88:AZ88))</f>
        <v>1</v>
      </c>
      <c r="BB88" s="34" t="s">
        <v>78</v>
      </c>
      <c r="BC88" s="10">
        <f>IF($AU88,IF(G87-E87&lt;0,-0.5,IF(E87-G87&lt;0,0.5,0)),IF($AQ88,IF($AH88&gt;$AH89,-0.5,IF($AH88&lt;$AH89,0.5,0)),IF($AR88,IF($AI88&gt;$AI89,-0.5, IF($AI88&lt;$AI89,0.5,0)),0)))</f>
        <v>0</v>
      </c>
      <c r="BD88" s="10">
        <f>IF($AV88,IF(G89-E89&lt;0,-0.5,IF(E89-G89&lt;0,0.5,0)),IF($AQ88,IF($AH88&gt;$AH90,-0.5,IF($AH88&lt;$AH90,0.5,0)),IF($AS88,IF($AJ88&gt;$AJ90,-0.5,IF($AJ88&lt;$AJ90,0.5,0)),0)))</f>
        <v>0</v>
      </c>
      <c r="BE88" s="35">
        <f>IF($AW88,IF(E91-G91&lt;0,-0.5,IF(G91-E91&lt;0,0.5,0)),IF($AR88,IF($AI88&gt;$AI91,-0.5,IF($AI88&lt;$AI91,0.5,0)),IF($AS88,IF($AJ88&gt;$AJ91,-0.5, IF($AJ88&lt;$AJ91,0.5,0)),0)))</f>
        <v>0</v>
      </c>
      <c r="BF88" s="8"/>
      <c r="BG88" s="8"/>
      <c r="BH88" s="8"/>
    </row>
    <row r="89" spans="2:60" ht="18">
      <c r="B89" s="180">
        <v>46196.458333333343</v>
      </c>
      <c r="C89" s="182" t="s">
        <v>94</v>
      </c>
      <c r="D89" s="17" t="str">
        <f>+Instructions!H37</f>
        <v>Portugal (POR)</v>
      </c>
      <c r="E89" s="151">
        <v>3</v>
      </c>
      <c r="F89" s="72" t="str">
        <f>+Instructions!H39</f>
        <v>Uzbekistan (UZB)</v>
      </c>
      <c r="G89" s="153">
        <v>0</v>
      </c>
      <c r="H89" s="15"/>
      <c r="I89" s="8"/>
      <c r="J89" s="41">
        <f>Q89</f>
        <v>2</v>
      </c>
      <c r="K89" s="74" t="str">
        <f t="array" ref="K89">INDEX(U88:U91,MATCH(S89,$T88:$T91,0))</f>
        <v>COL</v>
      </c>
      <c r="L89" s="43">
        <f t="array" ref="L89">INDEX(V88:V91,MATCH(S89,$T88:$T91,0))</f>
        <v>6</v>
      </c>
      <c r="M89" s="44">
        <f t="array" ref="M89">INDEX(W88:W91,MATCH(S89,$T88:$T91,0))</f>
        <v>3</v>
      </c>
      <c r="N89" s="43">
        <f t="array" ref="N89">INDEX(X88:X91,MATCH(S89,$T88:$T91,0))</f>
        <v>1</v>
      </c>
      <c r="O89" s="45">
        <f t="array" ref="O89">INDEX(Y88:Y91,MATCH(S89,$T88:$T91,0))</f>
        <v>2</v>
      </c>
      <c r="P89" s="8"/>
      <c r="Q89" s="30">
        <f>IF(ROUND(S89,0)=ROUND(S88,0),Q88,2)</f>
        <v>2</v>
      </c>
      <c r="R89" s="30">
        <f>ROUND(S89,0)</f>
        <v>2</v>
      </c>
      <c r="S89" s="31">
        <f>+SMALL(T88:T91,2)</f>
        <v>1.98</v>
      </c>
      <c r="T89" s="46">
        <f>SUM(AL89:AO89)+2.46</f>
        <v>3.96</v>
      </c>
      <c r="U89" s="33" t="str">
        <f>+Instructions!I38</f>
        <v>COD</v>
      </c>
      <c r="V89" s="10">
        <f>SUM(Z89:AC89)</f>
        <v>0</v>
      </c>
      <c r="W89" s="34">
        <f>G87+G90+E92</f>
        <v>0</v>
      </c>
      <c r="X89" s="10">
        <f>E87+E90+G92</f>
        <v>4</v>
      </c>
      <c r="Y89" s="35">
        <f>W89-X89</f>
        <v>-4</v>
      </c>
      <c r="Z89" s="10">
        <f>IF(ISBLANK(G87),0,IF(AA88=3,0,IF(AA88=1,1,3)))</f>
        <v>0</v>
      </c>
      <c r="AA89" s="10" t="s">
        <v>78</v>
      </c>
      <c r="AB89" s="10">
        <f>IF(ISBLANK(E92),0,IF(AA90=3,0,IF(AA90=1,1,3)))</f>
        <v>0</v>
      </c>
      <c r="AC89" s="10">
        <f>IF(ISBLANK(G90),0,IF(G90&gt;E90,3,IF(G90=E90,1,0)))</f>
        <v>0</v>
      </c>
      <c r="AD89" s="34" t="b">
        <f>(10*(Y88-Y89)+W88-W89&lt;0)</f>
        <v>0</v>
      </c>
      <c r="AE89" s="10" t="s">
        <v>78</v>
      </c>
      <c r="AF89" s="10" t="b">
        <f>10*(Y89-Y90)+W89-W90&gt;0</f>
        <v>0</v>
      </c>
      <c r="AG89" s="35" t="b">
        <f>10*(Y89-Y91)+W89-W91&gt;0</f>
        <v>0</v>
      </c>
      <c r="AH89" s="34">
        <f>10000*(Z89+AB89)+(G87-E87+E92-G92)*100+(G87+E92)</f>
        <v>-300</v>
      </c>
      <c r="AI89" s="10">
        <f>10000*(Z89+AC89)+(G87-E87+G90-E90)*100+(G87+G90)</f>
        <v>-300</v>
      </c>
      <c r="AJ89" s="10" t="s">
        <v>78</v>
      </c>
      <c r="AK89" s="35">
        <f>10000*(AB89+AC89)+(G90-E90+E92-G92)*100+(G90+E92)</f>
        <v>-200</v>
      </c>
      <c r="AL89" s="47">
        <f>-AM88</f>
        <v>0.5</v>
      </c>
      <c r="AM89" s="10" t="s">
        <v>78</v>
      </c>
      <c r="AN89" s="36">
        <f>IF($V89&gt;$V90,-0.5,IF($V90&gt;$V89,0.5,IF(AF89,-0.5,IF(AE90,0.5,BD89))))</f>
        <v>0.5</v>
      </c>
      <c r="AO89" s="37">
        <f>IF($V89&gt;$V91,-0.5,IF($V91&gt;$V89,0.5,IF(AG89,-0.5,IF(AE91,0.5,BE89))))</f>
        <v>0.5</v>
      </c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34"/>
      <c r="BC89" s="10" t="s">
        <v>78</v>
      </c>
      <c r="BD89" s="10">
        <f>IF($AX88,IF(G92-E92&lt;0,-0.5,IF(E92-G92&lt;0,0.5,0)),IF($AQ88,IF($AH89&gt;$AH90,-0.5,IF($AH89&lt;$AH90,0.5,0)),IF($AT88,IF($AK89&gt;$AK90,-0.5,IF($AK89&lt;$AK90,0.5,0)),0)))</f>
        <v>0</v>
      </c>
      <c r="BE89" s="35">
        <f>IF($AY88,IF(E90-G90&lt;0,-0.5,IF(G90-E90&lt;0,0.5,0)),IF($AR88,IF($AI89&gt;$AI91,-0.5,IF($AI89&lt;$AI91,0.5,0)),IF($AT88,IF($AK89&gt;$AK91,-0.5,IF($AK89&lt;$AK91,0.5,0)),0)))</f>
        <v>0</v>
      </c>
      <c r="BF89" s="8"/>
      <c r="BG89" s="8"/>
      <c r="BH89" s="8"/>
    </row>
    <row r="90" spans="2:60" ht="18">
      <c r="B90" s="180">
        <v>46196.833333333343</v>
      </c>
      <c r="C90" s="182" t="s">
        <v>77</v>
      </c>
      <c r="D90" s="17" t="str">
        <f>+Instructions!H40</f>
        <v>Colombia (COL)</v>
      </c>
      <c r="E90" s="151">
        <v>1</v>
      </c>
      <c r="F90" s="84" t="str">
        <f>+Instructions!H38</f>
        <v>DR Congo (COD)</v>
      </c>
      <c r="G90" s="153">
        <v>0</v>
      </c>
      <c r="H90" s="15"/>
      <c r="I90" s="8"/>
      <c r="J90" s="41">
        <f>Q90</f>
        <v>3</v>
      </c>
      <c r="K90" s="76" t="str">
        <f t="array" ref="K90">INDEX(U88:U91,MATCH(S90,$T88:$T91,0))</f>
        <v>UZB</v>
      </c>
      <c r="L90" s="54">
        <f t="array" ref="L90">INDEX(V88:V91,MATCH(S90,$T88:$T91,0))</f>
        <v>3</v>
      </c>
      <c r="M90" s="53">
        <f t="array" ref="M90">INDEX(W88:W91,MATCH(S90,$T88:$T91,0))</f>
        <v>1</v>
      </c>
      <c r="N90" s="54">
        <f t="array" ref="N90">INDEX(X88:X91,MATCH(S90,$T88:$T91,0))</f>
        <v>5</v>
      </c>
      <c r="O90" s="52">
        <f t="array" ref="O90">INDEX(Y88:Y91,MATCH(S90,$T88:$T91,0))</f>
        <v>-4</v>
      </c>
      <c r="P90" s="8"/>
      <c r="Q90" s="30">
        <f>IF(ROUND(S90,0)=ROUND(S89,0),Q89,3)</f>
        <v>3</v>
      </c>
      <c r="R90" s="30">
        <f>ROUND(S90,0)</f>
        <v>3</v>
      </c>
      <c r="S90" s="31">
        <f>+SMALL(T88:T91,3)</f>
        <v>2.97</v>
      </c>
      <c r="T90" s="46">
        <f>SUM(AL90:AO90)+2.47</f>
        <v>2.97</v>
      </c>
      <c r="U90" s="33" t="str">
        <f>+Instructions!I39</f>
        <v>UZB</v>
      </c>
      <c r="V90" s="10">
        <f>SUM(Z90:AC90)</f>
        <v>3</v>
      </c>
      <c r="W90" s="34">
        <f>E88+G89+G92</f>
        <v>1</v>
      </c>
      <c r="X90" s="10">
        <f>G88+E89+E92</f>
        <v>5</v>
      </c>
      <c r="Y90" s="35">
        <f>W90-X90</f>
        <v>-4</v>
      </c>
      <c r="Z90" s="10">
        <f>IF(ISBLANK(G89),0,IF(AB88=3,0,IF(AB88=1,1,3)))</f>
        <v>0</v>
      </c>
      <c r="AA90" s="10">
        <f>IF(ISBLANK(G92),0,IF(G92&gt;E92,3,IF(G92=E92,1,0)))</f>
        <v>3</v>
      </c>
      <c r="AB90" s="10" t="s">
        <v>78</v>
      </c>
      <c r="AC90" s="10">
        <f>IF(ISBLANK(E88),0,IF(E88&gt;G88,3,IF(E88=G88,1,0)))</f>
        <v>0</v>
      </c>
      <c r="AD90" s="34" t="b">
        <f>10*(Y88-Y90)+W88-W90&lt;0</f>
        <v>0</v>
      </c>
      <c r="AE90" s="10" t="b">
        <f>10*(Y89-Y90)+W89-W90&lt;0</f>
        <v>1</v>
      </c>
      <c r="AF90" s="10" t="s">
        <v>78</v>
      </c>
      <c r="AG90" s="35" t="b">
        <f>10*(Y90-Y91)+W90-W91&gt;0</f>
        <v>0</v>
      </c>
      <c r="AH90" s="34">
        <f>10000*(Z90+AA90)+(G89-E89+G92-E92)*100+(G89+G92)</f>
        <v>29801</v>
      </c>
      <c r="AI90" s="10" t="s">
        <v>78</v>
      </c>
      <c r="AJ90" s="10">
        <f>10000*(Z90+AC90)+(E88-G88+G89-E89)*100+(E88+G89)</f>
        <v>-500</v>
      </c>
      <c r="AK90" s="35">
        <f>10000*(AA90+AC90)+(E88-G88+G92-E92)*100+(E88+G92)</f>
        <v>29901</v>
      </c>
      <c r="AL90" s="47">
        <f>-AN88</f>
        <v>0.5</v>
      </c>
      <c r="AM90" s="36">
        <f>-AN89</f>
        <v>-0.5</v>
      </c>
      <c r="AN90" s="36" t="s">
        <v>78</v>
      </c>
      <c r="AO90" s="37">
        <f>IF($V90&gt;$V91,-0.5,IF($V91&gt;$V90,0.5,IF(AG90,-0.5,IF(AF91,0.5,BE90))))</f>
        <v>0.5</v>
      </c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34"/>
      <c r="BC90" s="10"/>
      <c r="BD90" s="10" t="s">
        <v>78</v>
      </c>
      <c r="BE90" s="35">
        <f>IF($AZ88,IF(G88-E88&lt;0,-0.5,IF(E88-G88&lt;0,0.5,0)),IF($AS88,IF($AJ90&gt;$AJ91,-0.5,IF($AJ90&lt;$AJ91,0.5,0)),IF($AT88,IF($AK90&gt;$AK91,-0.5,IF($AK90&lt;$AK91,0.5,0)),0)))</f>
        <v>0</v>
      </c>
      <c r="BF90" s="8"/>
      <c r="BG90" s="8"/>
      <c r="BH90" s="8"/>
    </row>
    <row r="91" spans="2:60" ht="18">
      <c r="B91" s="180">
        <v>46200.729166666657</v>
      </c>
      <c r="C91" s="182" t="s">
        <v>91</v>
      </c>
      <c r="D91" s="17" t="str">
        <f>+Instructions!H40</f>
        <v>Colombia (COL)</v>
      </c>
      <c r="E91" s="151">
        <v>0</v>
      </c>
      <c r="F91" s="72" t="str">
        <f>+Instructions!H37</f>
        <v>Portugal (POR)</v>
      </c>
      <c r="G91" s="153">
        <v>1</v>
      </c>
      <c r="H91" s="15"/>
      <c r="I91" s="8"/>
      <c r="J91" s="55">
        <f>Q91</f>
        <v>4</v>
      </c>
      <c r="K91" s="56" t="str">
        <f t="array" ref="K91">INDEX(U88:U91,MATCH(S91,$T88:$T91,0))</f>
        <v>COD</v>
      </c>
      <c r="L91" s="57">
        <f t="array" ref="L91">INDEX(V88:V91,MATCH(S91,$T88:$T91,0))</f>
        <v>0</v>
      </c>
      <c r="M91" s="58">
        <f t="array" ref="M91">INDEX(W88:W91,MATCH(S91,$T88:$T91,0))</f>
        <v>0</v>
      </c>
      <c r="N91" s="57">
        <f t="array" ref="N91">INDEX(X88:X91,MATCH(S91,$T88:$T91,0))</f>
        <v>4</v>
      </c>
      <c r="O91" s="59">
        <f t="array" ref="O91">INDEX(Y88:Y91,MATCH(S91,$T88:$T91,0))</f>
        <v>-4</v>
      </c>
      <c r="P91" s="8"/>
      <c r="Q91" s="30">
        <f>IF(ROUND(S91,0)=ROUND(S90,0),Q90,4)</f>
        <v>4</v>
      </c>
      <c r="R91" s="30">
        <f>ROUND(S91,0)</f>
        <v>4</v>
      </c>
      <c r="S91" s="31">
        <f>+SMALL(T88:T91,4)</f>
        <v>3.96</v>
      </c>
      <c r="T91" s="60">
        <f>SUM(AL91:AO91)+2.48</f>
        <v>1.98</v>
      </c>
      <c r="U91" s="61" t="str">
        <f>+Instructions!I40</f>
        <v>COL</v>
      </c>
      <c r="V91" s="38">
        <f>SUM(Z91:AC91)</f>
        <v>6</v>
      </c>
      <c r="W91" s="62">
        <f>G88+E90+E91</f>
        <v>3</v>
      </c>
      <c r="X91" s="38">
        <f>E88+G90+G91</f>
        <v>1</v>
      </c>
      <c r="Y91" s="63">
        <f>W91-X91</f>
        <v>2</v>
      </c>
      <c r="Z91" s="38">
        <f>IF(ISBLANK(E91),0,IF(AC88=3,0,IF(AC88=1,1,3)))</f>
        <v>0</v>
      </c>
      <c r="AA91" s="38">
        <f>IF(ISBLANK(E90),0,IF(AC89=3,0,IF(AC89=1,1,3)))</f>
        <v>3</v>
      </c>
      <c r="AB91" s="38">
        <f>IF(ISBLANK(G88),0,IF(AC90=3,0,IF(AC90=1,1,3)))</f>
        <v>3</v>
      </c>
      <c r="AC91" s="38" t="s">
        <v>78</v>
      </c>
      <c r="AD91" s="62" t="b">
        <f>10*(Y88-Y91)+W88-W91&lt;0</f>
        <v>0</v>
      </c>
      <c r="AE91" s="38" t="b">
        <f>10*(Y89-Y91)+W89-W91&lt;0</f>
        <v>1</v>
      </c>
      <c r="AF91" s="38" t="b">
        <f>10*(Y90-Y91)+W90-W91&lt;0</f>
        <v>1</v>
      </c>
      <c r="AG91" s="63" t="s">
        <v>78</v>
      </c>
      <c r="AH91" s="62" t="s">
        <v>78</v>
      </c>
      <c r="AI91" s="38">
        <f>10000*(Z91+AA91)+(E90-G90+E91-G91)*100+(E90+E91)</f>
        <v>30001</v>
      </c>
      <c r="AJ91" s="38">
        <f>10000*(Z91+AB91)+(E91-G91+G88-E88)*100+(E91+G88)</f>
        <v>30102</v>
      </c>
      <c r="AK91" s="63">
        <f>10000*(AA91+AB91)+(E90-G90+G88-E88)*100+(E90+G88)</f>
        <v>60303</v>
      </c>
      <c r="AL91" s="64">
        <f>-AO88</f>
        <v>0.5</v>
      </c>
      <c r="AM91" s="65">
        <f>-AO89</f>
        <v>-0.5</v>
      </c>
      <c r="AN91" s="65">
        <f>-AO90</f>
        <v>-0.5</v>
      </c>
      <c r="AO91" s="63" t="s">
        <v>78</v>
      </c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62"/>
      <c r="BC91" s="38"/>
      <c r="BD91" s="38"/>
      <c r="BE91" s="63" t="s">
        <v>78</v>
      </c>
      <c r="BF91" s="8"/>
      <c r="BG91" s="8"/>
      <c r="BH91" s="8"/>
    </row>
    <row r="92" spans="2:60" ht="18">
      <c r="B92" s="183">
        <v>46200.729166666657</v>
      </c>
      <c r="C92" s="184" t="s">
        <v>79</v>
      </c>
      <c r="D92" s="216" t="str">
        <f>+Instructions!H38</f>
        <v>DR Congo (COD)</v>
      </c>
      <c r="E92" s="151">
        <v>0</v>
      </c>
      <c r="F92" s="78" t="str">
        <f>+Instructions!H39</f>
        <v>Uzbekistan (UZB)</v>
      </c>
      <c r="G92" s="153">
        <v>1</v>
      </c>
      <c r="H92" s="15"/>
      <c r="I92" s="8"/>
      <c r="J92" s="10"/>
      <c r="K92" s="70" t="str">
        <f>IF(ISBLANK(G92)," ",+IF(OR(J90&lt;3,J89&lt;2),"TIE BREAK! Pick your qualifiers on the Knock-Out Predictions sheet"," "))</f>
        <v xml:space="preserve"> 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2:60" ht="18">
      <c r="B93" s="6"/>
      <c r="D93" s="3"/>
      <c r="E93" s="86"/>
      <c r="F93" s="3"/>
      <c r="G93" s="86"/>
      <c r="H93" s="15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2:60">
      <c r="B94" s="231" t="s">
        <v>103</v>
      </c>
      <c r="C94" s="232"/>
      <c r="D94" s="232"/>
      <c r="E94" s="232"/>
      <c r="F94" s="232"/>
      <c r="G94" s="233"/>
      <c r="H94" s="15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2:60" ht="18">
      <c r="B95" s="180">
        <v>46190.583333333343</v>
      </c>
      <c r="C95" s="181" t="s">
        <v>97</v>
      </c>
      <c r="D95" s="17" t="str">
        <f>+Instructions!H43</f>
        <v>England (ENG)</v>
      </c>
      <c r="E95" s="150">
        <v>1</v>
      </c>
      <c r="F95" s="83" t="str">
        <f>+Instructions!H44</f>
        <v>Croatia (CRO)</v>
      </c>
      <c r="G95" s="152">
        <v>0</v>
      </c>
      <c r="I95" s="8"/>
      <c r="J95" s="10"/>
      <c r="K95" s="178" t="s">
        <v>103</v>
      </c>
      <c r="L95" s="179" t="s">
        <v>42</v>
      </c>
      <c r="M95" s="206" t="s">
        <v>43</v>
      </c>
      <c r="N95" s="207" t="s">
        <v>368</v>
      </c>
      <c r="O95" s="207" t="s">
        <v>369</v>
      </c>
      <c r="P95" s="8"/>
      <c r="Q95" s="8"/>
      <c r="R95" s="8"/>
      <c r="S95" s="8"/>
      <c r="T95" s="19" t="s">
        <v>46</v>
      </c>
      <c r="U95" s="20" t="s">
        <v>47</v>
      </c>
      <c r="V95" s="21" t="s">
        <v>42</v>
      </c>
      <c r="W95" s="19" t="s">
        <v>43</v>
      </c>
      <c r="X95" s="21" t="s">
        <v>44</v>
      </c>
      <c r="Y95" s="22" t="s">
        <v>48</v>
      </c>
      <c r="Z95" s="21" t="s">
        <v>49</v>
      </c>
      <c r="AA95" s="21" t="s">
        <v>50</v>
      </c>
      <c r="AB95" s="21" t="s">
        <v>51</v>
      </c>
      <c r="AC95" s="21" t="s">
        <v>52</v>
      </c>
      <c r="AD95" s="19" t="s">
        <v>53</v>
      </c>
      <c r="AE95" s="21" t="s">
        <v>54</v>
      </c>
      <c r="AF95" s="21" t="s">
        <v>55</v>
      </c>
      <c r="AG95" s="22" t="s">
        <v>56</v>
      </c>
      <c r="AH95" s="19" t="s">
        <v>57</v>
      </c>
      <c r="AI95" s="21" t="s">
        <v>58</v>
      </c>
      <c r="AJ95" s="21" t="s">
        <v>59</v>
      </c>
      <c r="AK95" s="22" t="s">
        <v>60</v>
      </c>
      <c r="AL95" s="19" t="s">
        <v>61</v>
      </c>
      <c r="AM95" s="21" t="s">
        <v>62</v>
      </c>
      <c r="AN95" s="21" t="s">
        <v>63</v>
      </c>
      <c r="AO95" s="22" t="s">
        <v>64</v>
      </c>
      <c r="AP95" s="19" t="s">
        <v>65</v>
      </c>
      <c r="AQ95" s="21" t="s">
        <v>57</v>
      </c>
      <c r="AR95" s="21" t="s">
        <v>58</v>
      </c>
      <c r="AS95" s="21" t="s">
        <v>59</v>
      </c>
      <c r="AT95" s="21" t="s">
        <v>60</v>
      </c>
      <c r="AU95" s="21" t="s">
        <v>66</v>
      </c>
      <c r="AV95" s="21" t="s">
        <v>67</v>
      </c>
      <c r="AW95" s="21" t="s">
        <v>68</v>
      </c>
      <c r="AX95" s="21" t="s">
        <v>69</v>
      </c>
      <c r="AY95" s="21" t="s">
        <v>70</v>
      </c>
      <c r="AZ95" s="21" t="s">
        <v>71</v>
      </c>
      <c r="BA95" s="22" t="s">
        <v>72</v>
      </c>
      <c r="BB95" s="19" t="s">
        <v>73</v>
      </c>
      <c r="BC95" s="21" t="s">
        <v>74</v>
      </c>
      <c r="BD95" s="21" t="s">
        <v>75</v>
      </c>
      <c r="BE95" s="22" t="s">
        <v>76</v>
      </c>
      <c r="BF95" s="8"/>
      <c r="BG95" s="8"/>
      <c r="BH95" s="8"/>
    </row>
    <row r="96" spans="2:60" ht="18">
      <c r="B96" s="180">
        <v>46190.708333333343</v>
      </c>
      <c r="C96" s="182" t="s">
        <v>82</v>
      </c>
      <c r="D96" s="17" t="str">
        <f>+Instructions!H45</f>
        <v>Ghana (GHA)</v>
      </c>
      <c r="E96" s="151">
        <v>1</v>
      </c>
      <c r="F96" s="72" t="str">
        <f>+Instructions!H46</f>
        <v>Panama (PAN)</v>
      </c>
      <c r="G96" s="153">
        <v>0</v>
      </c>
      <c r="H96" s="15"/>
      <c r="I96" s="8"/>
      <c r="J96" s="25">
        <f>Q96</f>
        <v>1</v>
      </c>
      <c r="K96" s="73" t="str">
        <f t="array" ref="K96">INDEX(U96:U99,MATCH(S96,$T96:$T99,0))</f>
        <v>ENG</v>
      </c>
      <c r="L96" s="27">
        <f t="array" ref="L96">INDEX(V96:V99,MATCH(S96,$T96:$T99,0))</f>
        <v>9</v>
      </c>
      <c r="M96" s="28">
        <f t="array" ref="M96">INDEX(W96:W99,MATCH(S96,$T96:$T99,0))</f>
        <v>7</v>
      </c>
      <c r="N96" s="27">
        <f t="array" ref="N96">INDEX(X96:X99,MATCH(S96,$T96:$T99,0))</f>
        <v>0</v>
      </c>
      <c r="O96" s="29">
        <f t="array" ref="O96">INDEX(Y96:Y99,MATCH(S96,$T96:$T99,0))</f>
        <v>7</v>
      </c>
      <c r="P96" s="8"/>
      <c r="Q96" s="30">
        <v>1</v>
      </c>
      <c r="R96" s="30">
        <f>ROUND(S96,0)</f>
        <v>1</v>
      </c>
      <c r="S96" s="31">
        <f>+SMALL(T96:T99,1)</f>
        <v>0.95000000000000018</v>
      </c>
      <c r="T96" s="32">
        <f>SUM(AL96:AO96)+2.45</f>
        <v>0.95000000000000018</v>
      </c>
      <c r="U96" s="33" t="str">
        <f>+Instructions!I43</f>
        <v>ENG</v>
      </c>
      <c r="V96" s="10">
        <f>SUM(Z96:AC96)</f>
        <v>9</v>
      </c>
      <c r="W96" s="34">
        <f>E95+E97+G99</f>
        <v>7</v>
      </c>
      <c r="X96" s="10">
        <f>G95+G97+E99</f>
        <v>0</v>
      </c>
      <c r="Y96" s="35">
        <f>W96-X96</f>
        <v>7</v>
      </c>
      <c r="Z96" s="10" t="s">
        <v>78</v>
      </c>
      <c r="AA96" s="10">
        <f>IF(ISBLANK(E95),0,IF(E95&gt;G95,3,IF(E95=G95,1,0)))</f>
        <v>3</v>
      </c>
      <c r="AB96" s="10">
        <f>IF(ISBLANK(E97),0,IF(E97&gt;G97,3,IF(E97=G97,1,0)))</f>
        <v>3</v>
      </c>
      <c r="AC96" s="10">
        <f>IF(ISBLANK(G99),0,IF(G99&gt;E99,3,IF(G99=E99,1,0)))</f>
        <v>3</v>
      </c>
      <c r="AD96" s="34" t="s">
        <v>78</v>
      </c>
      <c r="AE96" s="10" t="b">
        <f>(10*(Y96-Y97)+W96-W97&gt;0)</f>
        <v>1</v>
      </c>
      <c r="AF96" s="10" t="b">
        <f>10*(Y96-Y98)+W96-W98&gt;0</f>
        <v>1</v>
      </c>
      <c r="AG96" s="35" t="b">
        <f>10*(Y96-Y99)+W96-W99&gt;0</f>
        <v>1</v>
      </c>
      <c r="AH96" s="34">
        <f>10000*(AA96+AB96)+(E97-G97+E95-G95)*100+(E97+E95)</f>
        <v>60303</v>
      </c>
      <c r="AI96" s="10">
        <f>10000*(AA96+AC96)+(E95-G95+G99-E99)*100+(E95+G99)</f>
        <v>60505</v>
      </c>
      <c r="AJ96" s="10">
        <f>10000*(AB96+AC96)+(G99-E99+E97-G97)*100+(G99+E97)</f>
        <v>60606</v>
      </c>
      <c r="AK96" s="35" t="s">
        <v>78</v>
      </c>
      <c r="AL96" s="34" t="s">
        <v>78</v>
      </c>
      <c r="AM96" s="36">
        <f>IF($V96&gt;$V97,-0.5,IF($V97&gt;$V96,0.5,IF(AE96,-0.5,IF(AD97,0.5,BC96))))</f>
        <v>-0.5</v>
      </c>
      <c r="AN96" s="36">
        <f>IF($V96&gt;$V98,-0.5,IF($V98&gt;$V96,0.5,IF(AF96,-0.5,IF(AD98,0.5,BD96))))</f>
        <v>-0.5</v>
      </c>
      <c r="AO96" s="37">
        <f>IF($V96&gt;$V99,-0.5,IF($V99&gt;$V96,0.5,IF(AG96,-0.5,IF(AD99,0.5,BE96))))</f>
        <v>-0.5</v>
      </c>
      <c r="AP96" s="38" t="b">
        <f>AND(AND(V96=V97,V97=V98,V98=V99),AND(W96=W97,W97=W98,W98=W99),AND(X96=X97,X97=X98,X98=X99))</f>
        <v>0</v>
      </c>
      <c r="AQ96" s="38" t="b">
        <f>AND(NOT(AP96),V96=V97,V96=V98,W96=W97,W96=W98,X96=X97,X96=X98)</f>
        <v>0</v>
      </c>
      <c r="AR96" s="38" t="b">
        <f>AND(NOT(AP96),V96=V97,V96=V99,W96=W97,W96=W99,X96=X97,X96=X99)</f>
        <v>0</v>
      </c>
      <c r="AS96" s="38" t="b">
        <f>AND(NOT(AP96),V96=V98,V96=V99,W96=W98,W96=W99,X96=X98,X96=X99)</f>
        <v>0</v>
      </c>
      <c r="AT96" s="38" t="b">
        <f>AND(NOT(AP96),V97=V98,V97=V99,W97=W98,W97=W99,X97=X98,X97=X99)</f>
        <v>0</v>
      </c>
      <c r="AU96" s="38" t="b">
        <f>AND(NOT(AP96),NOT(AQ96),NOT(AR96),V96=V97,W96=W97,X96=X97)</f>
        <v>0</v>
      </c>
      <c r="AV96" s="38" t="b">
        <f>AND(NOT(AP96),NOT(AQ96),NOT(AS96),V96=V98,W96=W98,X96=X98)</f>
        <v>0</v>
      </c>
      <c r="AW96" s="38" t="b">
        <f>AND(NOT(AP96),NOT(AR96),NOT(AS96),V96=V99,W96=W99,X96=X99)</f>
        <v>0</v>
      </c>
      <c r="AX96" s="38" t="b">
        <f>AND(NOT(AP96),NOT(AQ96),NOT(AT96),V97=V98,W97=W98)</f>
        <v>0</v>
      </c>
      <c r="AY96" s="38" t="b">
        <f>AND(NOT(AP96),NOT(AR96),NOT(AT96),V97=V99,W97=W99,X97=X99)</f>
        <v>0</v>
      </c>
      <c r="AZ96" s="38" t="b">
        <f>AND(NOT(AP96),NOT(AS96),NOT(AT96),V98=V99,W98=W99,X98=X99)</f>
        <v>0</v>
      </c>
      <c r="BA96" s="38" t="b">
        <f t="array" ref="BA96">AND(NOT(AP96:AZ96))</f>
        <v>1</v>
      </c>
      <c r="BB96" s="34" t="s">
        <v>78</v>
      </c>
      <c r="BC96" s="10">
        <f>IF($AU96,IF(G95-E95&lt;0,-0.5,IF(E95-G95&lt;0,0.5,0)),IF($AQ96,IF($AH96&gt;$AH97,-0.5,IF($AH96&lt;$AH97,0.5,0)),IF($AR96,IF($AI96&gt;$AI97,-0.5, IF($AI96&lt;$AI97,0.5,0)),0)))</f>
        <v>0</v>
      </c>
      <c r="BD96" s="10">
        <f>IF($AV96,IF(G97-E97&lt;0,-0.5,IF(E97-G97&lt;0,0.5,0)),IF($AQ96,IF($AH96&gt;$AH98,-0.5,IF($AH96&lt;$AH98,0.5,0)),IF($AS96,IF($AJ96&gt;$AJ98,-0.5,IF($AJ96&lt;$AJ98,0.5,0)),0)))</f>
        <v>0</v>
      </c>
      <c r="BE96" s="35">
        <f>IF($AW96,IF(E99-G99&lt;0,-0.5,IF(G99-E99&lt;0,0.5,0)),IF($AR96,IF($AI96&gt;$AI99,-0.5,IF($AI96&lt;$AI99,0.5,0)),IF($AS96,IF($AJ96&gt;$AJ99,-0.5, IF($AJ96&lt;$AJ99,0.5,0)),0)))</f>
        <v>0</v>
      </c>
      <c r="BF96" s="8"/>
      <c r="BG96" s="8"/>
      <c r="BH96" s="8"/>
    </row>
    <row r="97" spans="2:62" ht="18">
      <c r="B97" s="180">
        <v>46196.583333333343</v>
      </c>
      <c r="C97" s="182" t="s">
        <v>89</v>
      </c>
      <c r="D97" s="17" t="str">
        <f>+Instructions!H43</f>
        <v>England (ENG)</v>
      </c>
      <c r="E97" s="151">
        <v>2</v>
      </c>
      <c r="F97" s="72" t="str">
        <f>+Instructions!H45</f>
        <v>Ghana (GHA)</v>
      </c>
      <c r="G97" s="153">
        <v>0</v>
      </c>
      <c r="H97" s="15"/>
      <c r="I97" s="8"/>
      <c r="J97" s="41">
        <f>Q97</f>
        <v>2</v>
      </c>
      <c r="K97" s="74" t="str">
        <f t="array" ref="K97">INDEX(U96:U99,MATCH(S97,$T96:$T99,0))</f>
        <v>CRO</v>
      </c>
      <c r="L97" s="43">
        <f t="array" ref="L97">INDEX(V96:V99,MATCH(S97,$T96:$T99,0))</f>
        <v>6</v>
      </c>
      <c r="M97" s="44">
        <f t="array" ref="M97">INDEX(W96:W99,MATCH(S97,$T96:$T99,0))</f>
        <v>3</v>
      </c>
      <c r="N97" s="43">
        <f t="array" ref="N97">INDEX(X96:X99,MATCH(S97,$T96:$T99,0))</f>
        <v>1</v>
      </c>
      <c r="O97" s="45">
        <f t="array" ref="O97">INDEX(Y96:Y99,MATCH(S97,$T96:$T99,0))</f>
        <v>2</v>
      </c>
      <c r="P97" s="8"/>
      <c r="Q97" s="30">
        <f>IF(ROUND(S97,0)=ROUND(S96,0),Q96,2)</f>
        <v>2</v>
      </c>
      <c r="R97" s="30">
        <f>ROUND(S97,0)</f>
        <v>2</v>
      </c>
      <c r="S97" s="31">
        <f>+SMALL(T96:T99,2)</f>
        <v>1.96</v>
      </c>
      <c r="T97" s="46">
        <f>SUM(AL97:AO97)+2.46</f>
        <v>1.96</v>
      </c>
      <c r="U97" s="33" t="str">
        <f>+Instructions!I44</f>
        <v>CRO</v>
      </c>
      <c r="V97" s="10">
        <f>SUM(Z97:AC97)</f>
        <v>6</v>
      </c>
      <c r="W97" s="34">
        <f>G95+G98+E100</f>
        <v>3</v>
      </c>
      <c r="X97" s="10">
        <f>E95+E98+G100</f>
        <v>1</v>
      </c>
      <c r="Y97" s="35">
        <f>W97-X97</f>
        <v>2</v>
      </c>
      <c r="Z97" s="10">
        <f>IF(ISBLANK(G95),0,IF(AA96=3,0,IF(AA96=1,1,3)))</f>
        <v>0</v>
      </c>
      <c r="AA97" s="10" t="s">
        <v>78</v>
      </c>
      <c r="AB97" s="10">
        <f>IF(ISBLANK(E100),0,IF(AA98=3,0,IF(AA98=1,1,3)))</f>
        <v>3</v>
      </c>
      <c r="AC97" s="10">
        <f>IF(ISBLANK(G98),0,IF(G98&gt;E98,3,IF(G98=E98,1,0)))</f>
        <v>3</v>
      </c>
      <c r="AD97" s="34" t="b">
        <f>(10*(Y96-Y97)+W96-W97&lt;0)</f>
        <v>0</v>
      </c>
      <c r="AE97" s="10" t="s">
        <v>78</v>
      </c>
      <c r="AF97" s="10" t="b">
        <f>10*(Y97-Y98)+W97-W98&gt;0</f>
        <v>1</v>
      </c>
      <c r="AG97" s="35" t="b">
        <f>10*(Y97-Y99)+W97-W99&gt;0</f>
        <v>1</v>
      </c>
      <c r="AH97" s="34">
        <f>10000*(Z97+AB97)+(G95-E95+E100-G100)*100+(G95+E100)</f>
        <v>30001</v>
      </c>
      <c r="AI97" s="10">
        <f>10000*(Z97+AC97)+(G95-E95+G98-E98)*100+(G95+G98)</f>
        <v>30102</v>
      </c>
      <c r="AJ97" s="10" t="s">
        <v>78</v>
      </c>
      <c r="AK97" s="35">
        <f>10000*(AB97+AC97)+(G98-E98+E100-G100)*100+(G98+E100)</f>
        <v>60303</v>
      </c>
      <c r="AL97" s="47">
        <f>-AM96</f>
        <v>0.5</v>
      </c>
      <c r="AM97" s="10" t="s">
        <v>78</v>
      </c>
      <c r="AN97" s="36">
        <f>IF($V97&gt;$V98,-0.5,IF($V98&gt;$V97,0.5,IF(AF97,-0.5,IF(AE98,0.5,BD97))))</f>
        <v>-0.5</v>
      </c>
      <c r="AO97" s="37">
        <f>IF($V97&gt;$V99,-0.5,IF($V99&gt;$V97,0.5,IF(AG97,-0.5,IF(AE99,0.5,BE97))))</f>
        <v>-0.5</v>
      </c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34"/>
      <c r="BC97" s="10" t="s">
        <v>78</v>
      </c>
      <c r="BD97" s="10">
        <f>IF($AX96,IF(G100-E100&lt;0,-0.5,IF(E100-G100&lt;0,0.5,0)),IF($AQ96,IF($AH97&gt;$AH98,-0.5,IF($AH97&lt;$AH98,0.5,0)),IF($AT96,IF($AK97&gt;$AK98,-0.5,IF($AK97&lt;$AK98,0.5,0)),0)))</f>
        <v>0</v>
      </c>
      <c r="BE97" s="35">
        <f>IF($AY96,IF(E98-G98&lt;0,-0.5,IF(G98-E98&lt;0,0.5,0)),IF($AR96,IF($AI97&gt;$AI99,-0.5,IF($AI97&lt;$AI99,0.5,0)),IF($AT96,IF($AK97&gt;$AK99,-0.5,IF($AK97&lt;$AK99,0.5,0)),0)))</f>
        <v>0</v>
      </c>
      <c r="BF97" s="8"/>
      <c r="BG97" s="8"/>
      <c r="BH97" s="8"/>
    </row>
    <row r="98" spans="2:62" ht="18">
      <c r="B98" s="180">
        <v>46196.708333333343</v>
      </c>
      <c r="C98" s="182" t="s">
        <v>82</v>
      </c>
      <c r="D98" s="17" t="str">
        <f>+Instructions!H46</f>
        <v>Panama (PAN)</v>
      </c>
      <c r="E98" s="151">
        <v>0</v>
      </c>
      <c r="F98" s="84" t="str">
        <f>+Instructions!H44</f>
        <v>Croatia (CRO)</v>
      </c>
      <c r="G98" s="153">
        <v>2</v>
      </c>
      <c r="H98" s="15"/>
      <c r="I98" s="8"/>
      <c r="J98" s="41">
        <f>Q98</f>
        <v>3</v>
      </c>
      <c r="K98" s="76" t="str">
        <f t="array" ref="K98">INDEX(U96:U99,MATCH(S98,$T96:$T99,0))</f>
        <v>GHA</v>
      </c>
      <c r="L98" s="54">
        <f t="array" ref="L98">INDEX(V96:V99,MATCH(S98,$T96:$T99,0))</f>
        <v>3</v>
      </c>
      <c r="M98" s="53">
        <f t="array" ref="M98">INDEX(W96:W99,MATCH(S98,$T96:$T99,0))</f>
        <v>1</v>
      </c>
      <c r="N98" s="54">
        <f t="array" ref="N98">INDEX(X96:X99,MATCH(S98,$T96:$T99,0))</f>
        <v>3</v>
      </c>
      <c r="O98" s="52">
        <f t="array" ref="O98">INDEX(Y96:Y99,MATCH(S98,$T96:$T99,0))</f>
        <v>-2</v>
      </c>
      <c r="P98" s="8"/>
      <c r="Q98" s="30">
        <f>IF(ROUND(S98,0)=ROUND(S97,0),Q97,3)</f>
        <v>3</v>
      </c>
      <c r="R98" s="30">
        <f>ROUND(S98,0)</f>
        <v>3</v>
      </c>
      <c r="S98" s="31">
        <f>+SMALL(T96:T99,3)</f>
        <v>2.97</v>
      </c>
      <c r="T98" s="46">
        <f>SUM(AL98:AO98)+2.47</f>
        <v>2.97</v>
      </c>
      <c r="U98" s="33" t="str">
        <f>+Instructions!I45</f>
        <v>GHA</v>
      </c>
      <c r="V98" s="10">
        <f>SUM(Z98:AC98)</f>
        <v>3</v>
      </c>
      <c r="W98" s="34">
        <f>E96+G97+G100</f>
        <v>1</v>
      </c>
      <c r="X98" s="10">
        <f>G96+E97+E100</f>
        <v>3</v>
      </c>
      <c r="Y98" s="35">
        <f>W98-X98</f>
        <v>-2</v>
      </c>
      <c r="Z98" s="10">
        <f>IF(ISBLANK(G97),0,IF(AB96=3,0,IF(AB96=1,1,3)))</f>
        <v>0</v>
      </c>
      <c r="AA98" s="10">
        <f>IF(ISBLANK(G100),0,IF(G100&gt;E100,3,IF(G100=E100,1,0)))</f>
        <v>0</v>
      </c>
      <c r="AB98" s="10" t="s">
        <v>78</v>
      </c>
      <c r="AC98" s="10">
        <f>IF(ISBLANK(E96),0,IF(E96&gt;G96,3,IF(E96=G96,1,0)))</f>
        <v>3</v>
      </c>
      <c r="AD98" s="34" t="b">
        <f>10*(Y96-Y98)+W96-W98&lt;0</f>
        <v>0</v>
      </c>
      <c r="AE98" s="10" t="b">
        <f>10*(Y97-Y98)+W97-W98&lt;0</f>
        <v>0</v>
      </c>
      <c r="AF98" s="10" t="s">
        <v>78</v>
      </c>
      <c r="AG98" s="35" t="b">
        <f>10*(Y98-Y99)+W98-W99&gt;0</f>
        <v>1</v>
      </c>
      <c r="AH98" s="34">
        <f>10000*(Z98+AA98)+(G97-E97+G100-E100)*100+(G97+G100)</f>
        <v>-300</v>
      </c>
      <c r="AI98" s="10" t="s">
        <v>78</v>
      </c>
      <c r="AJ98" s="10">
        <f>10000*(Z98+AC98)+(E96-G96+G97-E97)*100+(E96+G97)</f>
        <v>29901</v>
      </c>
      <c r="AK98" s="35">
        <f>10000*(AA98+AC98)+(E96-G96+G100-E100)*100+(E96+G100)</f>
        <v>30001</v>
      </c>
      <c r="AL98" s="47">
        <f>-AN96</f>
        <v>0.5</v>
      </c>
      <c r="AM98" s="36">
        <f>-AN97</f>
        <v>0.5</v>
      </c>
      <c r="AN98" s="36" t="s">
        <v>78</v>
      </c>
      <c r="AO98" s="37">
        <f>IF($V98&gt;$V99,-0.5,IF($V99&gt;$V98,0.5,IF(AG98,-0.5,IF(AF99,0.5,BE98))))</f>
        <v>-0.5</v>
      </c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34"/>
      <c r="BC98" s="10"/>
      <c r="BD98" s="10" t="s">
        <v>78</v>
      </c>
      <c r="BE98" s="35">
        <f>IF($AZ96,IF(G96-E96&lt;0,-0.5,IF(E96-G96&lt;0,0.5,0)),IF($AS96,IF($AJ98&gt;$AJ99,-0.5,IF($AJ98&lt;$AJ99,0.5,0)),IF($AT96,IF($AK98&gt;$AK99,-0.5,IF($AK98&lt;$AK99,0.5,0)),0)))</f>
        <v>0</v>
      </c>
      <c r="BF98" s="8"/>
      <c r="BG98" s="8"/>
      <c r="BH98" s="8"/>
    </row>
    <row r="99" spans="2:62" ht="18">
      <c r="B99" s="180">
        <v>46200.625</v>
      </c>
      <c r="C99" s="182" t="s">
        <v>88</v>
      </c>
      <c r="D99" s="17" t="str">
        <f>+Instructions!H46</f>
        <v>Panama (PAN)</v>
      </c>
      <c r="E99" s="151">
        <v>0</v>
      </c>
      <c r="F99" s="72" t="str">
        <f>+Instructions!H43</f>
        <v>England (ENG)</v>
      </c>
      <c r="G99" s="153">
        <v>4</v>
      </c>
      <c r="H99" s="15"/>
      <c r="I99" s="8"/>
      <c r="J99" s="55">
        <f>Q99</f>
        <v>4</v>
      </c>
      <c r="K99" s="56" t="str">
        <f t="array" ref="K99">INDEX(U96:U99,MATCH(S99,$T96:$T99,0))</f>
        <v>PAN</v>
      </c>
      <c r="L99" s="57">
        <f t="array" ref="L99">INDEX(V96:V99,MATCH(S99,$T96:$T99,0))</f>
        <v>0</v>
      </c>
      <c r="M99" s="58">
        <f t="array" ref="M99">INDEX(W96:W99,MATCH(S99,$T96:$T99,0))</f>
        <v>0</v>
      </c>
      <c r="N99" s="57">
        <f t="array" ref="N99">INDEX(X96:X99,MATCH(S99,$T96:$T99,0))</f>
        <v>7</v>
      </c>
      <c r="O99" s="59">
        <f t="array" ref="O99">INDEX(Y96:Y99,MATCH(S99,$T96:$T99,0))</f>
        <v>-7</v>
      </c>
      <c r="P99" s="8"/>
      <c r="Q99" s="30">
        <f>IF(ROUND(S99,0)=ROUND(S98,0),Q98,4)</f>
        <v>4</v>
      </c>
      <c r="R99" s="30">
        <f>ROUND(S99,0)</f>
        <v>4</v>
      </c>
      <c r="S99" s="31">
        <f>+SMALL(T96:T99,4)</f>
        <v>3.98</v>
      </c>
      <c r="T99" s="60">
        <f>SUM(AL99:AO99)+2.48</f>
        <v>3.98</v>
      </c>
      <c r="U99" s="61" t="str">
        <f>+Instructions!I46</f>
        <v>PAN</v>
      </c>
      <c r="V99" s="38">
        <f>SUM(Z99:AC99)</f>
        <v>0</v>
      </c>
      <c r="W99" s="62">
        <f>G96+E98+E99</f>
        <v>0</v>
      </c>
      <c r="X99" s="38">
        <f>E96+G98+G99</f>
        <v>7</v>
      </c>
      <c r="Y99" s="63">
        <f>W99-X99</f>
        <v>-7</v>
      </c>
      <c r="Z99" s="38">
        <f>IF(ISBLANK(E99),0,IF(AC96=3,0,IF(AC96=1,1,3)))</f>
        <v>0</v>
      </c>
      <c r="AA99" s="38">
        <f>IF(ISBLANK(E98),0,IF(AC97=3,0,IF(AC97=1,1,3)))</f>
        <v>0</v>
      </c>
      <c r="AB99" s="38">
        <f>IF(ISBLANK(G96),0,IF(AC98=3,0,IF(AC98=1,1,3)))</f>
        <v>0</v>
      </c>
      <c r="AC99" s="38" t="s">
        <v>78</v>
      </c>
      <c r="AD99" s="62" t="b">
        <f>10*(Y96-Y99)+W96-W99&lt;0</f>
        <v>0</v>
      </c>
      <c r="AE99" s="38" t="b">
        <f>10*(Y97-Y99)+W97-W99&lt;0</f>
        <v>0</v>
      </c>
      <c r="AF99" s="38" t="b">
        <f>10*(Y98-Y99)+W98-W99&lt;0</f>
        <v>0</v>
      </c>
      <c r="AG99" s="63" t="s">
        <v>78</v>
      </c>
      <c r="AH99" s="62" t="s">
        <v>78</v>
      </c>
      <c r="AI99" s="38">
        <f>10000*(Z99+AA99)+(E98-G98+E99-G99)*100+(E98+E99)</f>
        <v>-600</v>
      </c>
      <c r="AJ99" s="38">
        <f>10000*(Z99+AB99)+(E99-G99+G96-E96)*100+(E99+G96)</f>
        <v>-500</v>
      </c>
      <c r="AK99" s="63">
        <f>10000*(AA99+AB99)+(E98-G98+G96-E96)*100+(E98+G96)</f>
        <v>-300</v>
      </c>
      <c r="AL99" s="64">
        <f>-AO96</f>
        <v>0.5</v>
      </c>
      <c r="AM99" s="65">
        <f>-AO97</f>
        <v>0.5</v>
      </c>
      <c r="AN99" s="65">
        <f>-AO98</f>
        <v>0.5</v>
      </c>
      <c r="AO99" s="63" t="s">
        <v>78</v>
      </c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62"/>
      <c r="BC99" s="38"/>
      <c r="BD99" s="38"/>
      <c r="BE99" s="63" t="s">
        <v>78</v>
      </c>
      <c r="BF99" s="8"/>
      <c r="BG99" s="8"/>
      <c r="BH99" s="8"/>
    </row>
    <row r="100" spans="2:62" ht="18">
      <c r="B100" s="183">
        <v>46200.625</v>
      </c>
      <c r="C100" s="184" t="s">
        <v>90</v>
      </c>
      <c r="D100" s="68" t="str">
        <f>+Instructions!H44</f>
        <v>Croatia (CRO)</v>
      </c>
      <c r="E100" s="151">
        <v>1</v>
      </c>
      <c r="F100" s="78" t="str">
        <f>+Instructions!H45</f>
        <v>Ghana (GHA)</v>
      </c>
      <c r="G100" s="153">
        <v>0</v>
      </c>
      <c r="H100" s="15"/>
      <c r="I100" s="8"/>
      <c r="J100" s="10"/>
      <c r="K100" s="70" t="str">
        <f>IF(ISBLANK(G100)," ",+IF(OR(J98&lt;3,J97&lt;2),"TIE BREAK! Pick your qualifiers on the Knock-Out Predictions sheet"," "))</f>
        <v xml:space="preserve"> 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2:62">
      <c r="B101" s="11"/>
      <c r="C101" s="12"/>
      <c r="D101" s="8"/>
      <c r="E101" s="13"/>
      <c r="F101" s="14"/>
      <c r="G101" s="13"/>
      <c r="H101" s="15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2:62">
      <c r="B102" s="11"/>
      <c r="C102" s="12"/>
      <c r="D102" s="8"/>
      <c r="E102" s="13"/>
      <c r="F102" s="14"/>
      <c r="G102" s="13"/>
      <c r="H102" s="15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234" t="s">
        <v>104</v>
      </c>
      <c r="AA102" s="235"/>
      <c r="AB102" s="235"/>
      <c r="AC102" s="235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2:62">
      <c r="B103" s="11"/>
      <c r="C103" s="12"/>
      <c r="D103" s="8"/>
      <c r="E103" s="13"/>
      <c r="F103" s="14"/>
      <c r="G103" s="13"/>
      <c r="H103" s="15"/>
      <c r="I103" s="87"/>
      <c r="J103" s="87"/>
      <c r="K103" s="88"/>
      <c r="L103" s="87"/>
      <c r="M103" s="87"/>
      <c r="N103" s="87"/>
      <c r="O103" s="87"/>
      <c r="R103" s="87"/>
      <c r="S103" s="87"/>
      <c r="T103" s="87"/>
      <c r="U103" s="87"/>
      <c r="V103" s="87"/>
      <c r="W103" s="87"/>
      <c r="X103" s="87"/>
      <c r="Y103" s="87"/>
      <c r="Z103" s="89" t="s">
        <v>105</v>
      </c>
      <c r="AA103" s="90" t="s">
        <v>48</v>
      </c>
      <c r="AB103" s="90" t="s">
        <v>106</v>
      </c>
      <c r="AC103" s="90" t="s">
        <v>107</v>
      </c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"/>
      <c r="BG103" s="8"/>
      <c r="BH103" s="8"/>
    </row>
    <row r="104" spans="2:62">
      <c r="B104" s="11"/>
      <c r="C104" s="12"/>
      <c r="D104" s="8"/>
      <c r="E104" s="13"/>
      <c r="F104" s="14"/>
      <c r="G104" s="91"/>
      <c r="H104" s="92"/>
      <c r="I104" s="93">
        <f>+SUM(I105:I112)</f>
        <v>3894</v>
      </c>
      <c r="J104" s="94" t="s">
        <v>108</v>
      </c>
      <c r="K104" s="178" t="s">
        <v>356</v>
      </c>
      <c r="L104" s="179" t="s">
        <v>42</v>
      </c>
      <c r="M104" s="206" t="s">
        <v>43</v>
      </c>
      <c r="N104" s="207" t="s">
        <v>368</v>
      </c>
      <c r="O104" s="207" t="s">
        <v>369</v>
      </c>
      <c r="T104" s="19" t="s">
        <v>109</v>
      </c>
      <c r="U104" s="20" t="s">
        <v>47</v>
      </c>
      <c r="V104" s="21" t="s">
        <v>42</v>
      </c>
      <c r="W104" s="19" t="s">
        <v>43</v>
      </c>
      <c r="X104" s="21" t="s">
        <v>44</v>
      </c>
      <c r="Y104" s="21" t="s">
        <v>48</v>
      </c>
      <c r="Z104" s="95">
        <v>10000</v>
      </c>
      <c r="AA104" s="95">
        <v>1000</v>
      </c>
      <c r="AB104" s="95">
        <v>100</v>
      </c>
      <c r="AC104" s="96" t="s">
        <v>110</v>
      </c>
      <c r="AD104" s="7" t="s">
        <v>111</v>
      </c>
      <c r="AE104" s="7" t="s">
        <v>112</v>
      </c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3"/>
      <c r="BG104" s="3"/>
      <c r="BH104" s="3"/>
      <c r="BI104" s="1"/>
      <c r="BJ104" s="1"/>
    </row>
    <row r="105" spans="2:62">
      <c r="B105" s="11"/>
      <c r="C105" s="12"/>
      <c r="D105" s="8"/>
      <c r="E105" s="13"/>
      <c r="F105" s="14"/>
      <c r="G105" s="7"/>
      <c r="I105" s="98">
        <f t="shared" ref="I105:I112" si="0">+LOOKUP(J105,$Q$105:$R$116)</f>
        <v>256</v>
      </c>
      <c r="J105" s="99" t="str">
        <f t="array" ref="J105">IF(ISBLANK(G8)," ",+INDEX($T$105:$T$116,AE105))</f>
        <v>I</v>
      </c>
      <c r="K105" s="100" t="str">
        <f t="array" ref="K105">IF(ISBLANK(G8)," ",+INDEX($U$105:$U$116,AE105))</f>
        <v>SEN</v>
      </c>
      <c r="L105" s="101">
        <f t="array" ref="L105">INDEX($V$105:$V$116,AE105)</f>
        <v>4</v>
      </c>
      <c r="M105" s="101">
        <f t="array" ref="M105">INDEX($W$105:$W$116,AE105)</f>
        <v>2</v>
      </c>
      <c r="N105" s="101">
        <f t="array" ref="N105">INDEX($X$105:$X$116,AE105)</f>
        <v>3</v>
      </c>
      <c r="O105" s="101">
        <f t="array" ref="O105">INDEX($Y$105:$Y$116,AE105)</f>
        <v>-1</v>
      </c>
      <c r="Q105" s="102" t="s">
        <v>113</v>
      </c>
      <c r="R105" s="2">
        <v>1</v>
      </c>
      <c r="T105" s="102" t="s">
        <v>113</v>
      </c>
      <c r="U105" s="87" t="str">
        <f>+K10</f>
        <v>CZE</v>
      </c>
      <c r="V105" s="103">
        <f>+L10</f>
        <v>2</v>
      </c>
      <c r="W105" s="103">
        <f>+M10</f>
        <v>0</v>
      </c>
      <c r="X105" s="103">
        <f>+N10</f>
        <v>1</v>
      </c>
      <c r="Y105" s="103">
        <f>+O10</f>
        <v>-1</v>
      </c>
      <c r="Z105" s="87">
        <f t="shared" ref="Z105:Z116" si="1">+V105*$Z$104</f>
        <v>20000</v>
      </c>
      <c r="AA105" s="87">
        <f t="shared" ref="AA105:AA116" si="2">+Y105*$AA$104</f>
        <v>-1000</v>
      </c>
      <c r="AB105" s="87">
        <f t="shared" ref="AB105:AB116" si="3">+W105*$AB$104</f>
        <v>0</v>
      </c>
      <c r="AC105" s="104">
        <f>+SUM(Z105:AB105)+0.01</f>
        <v>19000.009999999998</v>
      </c>
      <c r="AD105" s="105">
        <f>+LARGE($AC$105:$AC$116,1)</f>
        <v>39200.089999999997</v>
      </c>
      <c r="AE105" s="1">
        <f t="shared" ref="AE105:AE116" si="4">+MATCH(AD105,$AC$105:$AC$116,0)</f>
        <v>9</v>
      </c>
      <c r="AF105" s="1"/>
      <c r="AG105" s="1"/>
      <c r="AH105" s="1"/>
      <c r="AI105" s="1"/>
      <c r="AJ105" s="1"/>
      <c r="AK105" s="87"/>
      <c r="AL105" s="87"/>
      <c r="AM105" s="87"/>
      <c r="AN105" s="106"/>
      <c r="AO105" s="106"/>
      <c r="AP105" s="106"/>
      <c r="AQ105" s="106"/>
      <c r="AR105" s="106"/>
      <c r="AS105" s="106"/>
      <c r="AT105" s="87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1"/>
      <c r="BJ105" s="1"/>
    </row>
    <row r="106" spans="2:62">
      <c r="B106" s="11"/>
      <c r="C106" s="12"/>
      <c r="D106" s="8"/>
      <c r="E106" s="13"/>
      <c r="F106" s="14"/>
      <c r="G106" s="7"/>
      <c r="I106" s="98">
        <f t="shared" si="0"/>
        <v>16</v>
      </c>
      <c r="J106" s="99" t="str">
        <f t="array" ref="J106">IF(ISBLANK(G16)," ",+INDEX($T$105:$T$116,AE106))</f>
        <v>E</v>
      </c>
      <c r="K106" s="100" t="str">
        <f t="array" ref="K106">IF(ISBLANK(G16)," ",+INDEX($U$105:$U$116,AE106))</f>
        <v>CIV</v>
      </c>
      <c r="L106" s="101">
        <f t="array" ref="L106">INDEX($V$105:$V$116,AE106)</f>
        <v>3</v>
      </c>
      <c r="M106" s="101">
        <f t="array" ref="M106">INDEX($W$105:$W$116,AE106)</f>
        <v>3</v>
      </c>
      <c r="N106" s="101">
        <f t="array" ref="N106">INDEX($X$105:$X$116,AE106)</f>
        <v>3</v>
      </c>
      <c r="O106" s="101">
        <f t="array" ref="O106">INDEX($Y$105:$Y$116,AE106)</f>
        <v>0</v>
      </c>
      <c r="Q106" s="102" t="s">
        <v>114</v>
      </c>
      <c r="R106" s="2">
        <v>2</v>
      </c>
      <c r="T106" s="102" t="s">
        <v>114</v>
      </c>
      <c r="U106" s="87" t="str">
        <f>+K18</f>
        <v>BIH</v>
      </c>
      <c r="V106" s="103">
        <f>+L18</f>
        <v>3</v>
      </c>
      <c r="W106" s="103">
        <f>+M18</f>
        <v>1</v>
      </c>
      <c r="X106" s="103">
        <f>+N18</f>
        <v>2</v>
      </c>
      <c r="Y106" s="103">
        <f>+O18</f>
        <v>-1</v>
      </c>
      <c r="Z106" s="87">
        <f t="shared" si="1"/>
        <v>30000</v>
      </c>
      <c r="AA106" s="87">
        <f t="shared" si="2"/>
        <v>-1000</v>
      </c>
      <c r="AB106" s="87">
        <f t="shared" si="3"/>
        <v>100</v>
      </c>
      <c r="AC106" s="104">
        <f>+SUM(Z106:AB106)+0.02</f>
        <v>29100.02</v>
      </c>
      <c r="AD106" s="105">
        <f>+LARGE($AC$105:$AC$116,2)</f>
        <v>30300.05</v>
      </c>
      <c r="AE106" s="1">
        <f t="shared" si="4"/>
        <v>5</v>
      </c>
      <c r="AF106" s="106"/>
      <c r="AG106" s="106"/>
      <c r="AH106" s="106"/>
      <c r="AI106" s="106"/>
      <c r="AJ106" s="106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1"/>
      <c r="BJ106" s="1"/>
    </row>
    <row r="107" spans="2:62">
      <c r="B107" s="11"/>
      <c r="C107" s="12"/>
      <c r="D107" s="8"/>
      <c r="E107" s="13"/>
      <c r="F107" s="14"/>
      <c r="G107" s="7"/>
      <c r="I107" s="98">
        <f t="shared" si="0"/>
        <v>4</v>
      </c>
      <c r="J107" s="99" t="str">
        <f t="array" ref="J107">IF(ISBLANK(G24)," ",+INDEX($T$105:$T$116,AE107))</f>
        <v>C</v>
      </c>
      <c r="K107" s="100" t="str">
        <f t="array" ref="K107">IF(ISBLANK(G24)," ",+INDEX($U$105:$U$116,AE107))</f>
        <v>SCO</v>
      </c>
      <c r="L107" s="101">
        <f t="array" ref="L107">INDEX($V$105:$V$116,AE107)</f>
        <v>3</v>
      </c>
      <c r="M107" s="101">
        <f t="array" ref="M107">INDEX($W$105:$W$116,AE107)</f>
        <v>2</v>
      </c>
      <c r="N107" s="101">
        <f t="array" ref="N107">INDEX($X$105:$X$116,AE107)</f>
        <v>2</v>
      </c>
      <c r="O107" s="101">
        <f t="array" ref="O107">INDEX($Y$105:$Y$116,AE107)</f>
        <v>0</v>
      </c>
      <c r="Q107" s="102" t="s">
        <v>115</v>
      </c>
      <c r="R107" s="2">
        <v>4</v>
      </c>
      <c r="T107" s="102" t="s">
        <v>115</v>
      </c>
      <c r="U107" s="87" t="str">
        <f>+K26</f>
        <v>SCO</v>
      </c>
      <c r="V107" s="103">
        <f>+L26</f>
        <v>3</v>
      </c>
      <c r="W107" s="103">
        <f>+M26</f>
        <v>2</v>
      </c>
      <c r="X107" s="103">
        <f>+N26</f>
        <v>2</v>
      </c>
      <c r="Y107" s="103">
        <f>+O26</f>
        <v>0</v>
      </c>
      <c r="Z107" s="87">
        <f t="shared" si="1"/>
        <v>30000</v>
      </c>
      <c r="AA107" s="87">
        <f t="shared" si="2"/>
        <v>0</v>
      </c>
      <c r="AB107" s="87">
        <f t="shared" si="3"/>
        <v>200</v>
      </c>
      <c r="AC107" s="104">
        <f>+SUM(Z107:AB107)+0.03</f>
        <v>30200.03</v>
      </c>
      <c r="AD107" s="105">
        <f>+LARGE($AC$105:$AC$116,3)</f>
        <v>30200.03</v>
      </c>
      <c r="AE107" s="1">
        <f t="shared" si="4"/>
        <v>3</v>
      </c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1"/>
      <c r="BJ107" s="1"/>
    </row>
    <row r="108" spans="2:62">
      <c r="B108" s="11"/>
      <c r="C108" s="12"/>
      <c r="D108" s="8"/>
      <c r="E108" s="13"/>
      <c r="F108" s="14"/>
      <c r="G108" s="7"/>
      <c r="I108" s="98">
        <f t="shared" si="0"/>
        <v>32</v>
      </c>
      <c r="J108" s="99" t="str">
        <f t="array" ref="J108">IF(ISBLANK(G32)," ",+INDEX($T$105:$T$116,AE108))</f>
        <v>F</v>
      </c>
      <c r="K108" s="100" t="str">
        <f t="array" ref="K108">IF(ISBLANK(G32)," ",+INDEX($U$105:$U$116,AE108))</f>
        <v>SWE</v>
      </c>
      <c r="L108" s="101">
        <f t="array" ref="L108">INDEX($V$105:$V$116,AE108)</f>
        <v>3</v>
      </c>
      <c r="M108" s="101">
        <f t="array" ref="M108">INDEX($W$105:$W$116,AE108)</f>
        <v>1</v>
      </c>
      <c r="N108" s="101">
        <f t="array" ref="N108">INDEX($X$105:$X$116,AE108)</f>
        <v>2</v>
      </c>
      <c r="O108" s="101">
        <f t="array" ref="O108">INDEX($Y$105:$Y$116,AE108)</f>
        <v>-1</v>
      </c>
      <c r="Q108" s="102" t="s">
        <v>116</v>
      </c>
      <c r="R108" s="2">
        <v>8</v>
      </c>
      <c r="T108" s="102" t="s">
        <v>116</v>
      </c>
      <c r="U108" s="87" t="str">
        <f>+K34</f>
        <v>PAR</v>
      </c>
      <c r="V108" s="103">
        <f>+L34</f>
        <v>2</v>
      </c>
      <c r="W108" s="103">
        <f>+M34</f>
        <v>0</v>
      </c>
      <c r="X108" s="103">
        <f>+N34</f>
        <v>1</v>
      </c>
      <c r="Y108" s="103">
        <f>+O34</f>
        <v>-1</v>
      </c>
      <c r="Z108" s="87">
        <f t="shared" si="1"/>
        <v>20000</v>
      </c>
      <c r="AA108" s="87">
        <f t="shared" si="2"/>
        <v>-1000</v>
      </c>
      <c r="AB108" s="87">
        <f t="shared" si="3"/>
        <v>0</v>
      </c>
      <c r="AC108" s="104">
        <f>+SUM(Z108:AB108)+0.04</f>
        <v>19000.04</v>
      </c>
      <c r="AD108" s="105">
        <f>+LARGE($AC$105:$AC$116,4)</f>
        <v>29100.06</v>
      </c>
      <c r="AE108" s="1">
        <f t="shared" si="4"/>
        <v>6</v>
      </c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1"/>
      <c r="BJ108" s="1"/>
    </row>
    <row r="109" spans="2:62">
      <c r="B109" s="11"/>
      <c r="C109" s="12"/>
      <c r="D109" s="8"/>
      <c r="E109" s="13"/>
      <c r="F109" s="14"/>
      <c r="G109" s="7"/>
      <c r="I109" s="98">
        <f t="shared" si="0"/>
        <v>2</v>
      </c>
      <c r="J109" s="99" t="str">
        <f t="array" ref="J109">IF(ISBLANK(G40)," ",+INDEX($T$105:$T$116,AE109))</f>
        <v>B</v>
      </c>
      <c r="K109" s="100" t="str">
        <f t="array" ref="K109">IF(ISBLANK(G40)," ",+INDEX($U$105:$U$116,AE109))</f>
        <v>BIH</v>
      </c>
      <c r="L109" s="101">
        <f t="array" ref="L109">INDEX($V$105:$V$116,AE109)</f>
        <v>3</v>
      </c>
      <c r="M109" s="101">
        <f t="array" ref="M109">INDEX($W$105:$W$116,AE109)</f>
        <v>1</v>
      </c>
      <c r="N109" s="101">
        <f t="array" ref="N109">INDEX($X$105:$X$116,AE109)</f>
        <v>2</v>
      </c>
      <c r="O109" s="101">
        <f t="array" ref="O109">INDEX($Y$105:$Y$116,AE109)</f>
        <v>-1</v>
      </c>
      <c r="Q109" s="102" t="s">
        <v>117</v>
      </c>
      <c r="R109" s="2">
        <v>16</v>
      </c>
      <c r="T109" s="102" t="s">
        <v>117</v>
      </c>
      <c r="U109" s="87" t="str">
        <f>+K42</f>
        <v>CIV</v>
      </c>
      <c r="V109" s="103">
        <f>+L42</f>
        <v>3</v>
      </c>
      <c r="W109" s="103">
        <f>+M42</f>
        <v>3</v>
      </c>
      <c r="X109" s="103">
        <f>+N42</f>
        <v>3</v>
      </c>
      <c r="Y109" s="103">
        <f>+O42</f>
        <v>0</v>
      </c>
      <c r="Z109" s="87">
        <f t="shared" si="1"/>
        <v>30000</v>
      </c>
      <c r="AA109" s="87">
        <f t="shared" si="2"/>
        <v>0</v>
      </c>
      <c r="AB109" s="87">
        <f t="shared" si="3"/>
        <v>300</v>
      </c>
      <c r="AC109" s="104">
        <f>+SUM(Z109:AB109)+0.05</f>
        <v>30300.05</v>
      </c>
      <c r="AD109" s="105">
        <f>+LARGE($AC$105:$AC$116,5)</f>
        <v>29100.02</v>
      </c>
      <c r="AE109" s="1">
        <f t="shared" si="4"/>
        <v>2</v>
      </c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1"/>
      <c r="BJ109" s="1"/>
    </row>
    <row r="110" spans="2:62">
      <c r="B110" s="11"/>
      <c r="C110" s="12"/>
      <c r="D110" s="8"/>
      <c r="E110" s="13"/>
      <c r="F110" s="14"/>
      <c r="G110" s="7"/>
      <c r="I110" s="98">
        <f t="shared" si="0"/>
        <v>2048</v>
      </c>
      <c r="J110" s="99" t="str">
        <f t="array" ref="J110">IF(ISBLANK(G48)," ",+INDEX($T$105:$T$116,AE110))</f>
        <v>L</v>
      </c>
      <c r="K110" s="100" t="str">
        <f t="array" ref="K110">IF(ISBLANK(G48)," ",INDEX($U$105:$U$116,AE110))</f>
        <v>GHA</v>
      </c>
      <c r="L110" s="101">
        <f t="array" ref="L110">INDEX($V$105:$V$116,AE110)</f>
        <v>3</v>
      </c>
      <c r="M110" s="101">
        <f t="array" ref="M110">INDEX($W$105:$W$116,AE110)</f>
        <v>1</v>
      </c>
      <c r="N110" s="101">
        <f t="array" ref="N110">INDEX($X$105:$X$116,AE110)</f>
        <v>3</v>
      </c>
      <c r="O110" s="101">
        <f t="array" ref="O110">INDEX($Y$105:$Y$116,AE110)</f>
        <v>-2</v>
      </c>
      <c r="Q110" s="102" t="s">
        <v>118</v>
      </c>
      <c r="R110" s="2">
        <v>32</v>
      </c>
      <c r="T110" s="102" t="s">
        <v>118</v>
      </c>
      <c r="U110" s="87" t="str">
        <f>+K50</f>
        <v>SWE</v>
      </c>
      <c r="V110" s="103">
        <f>+L50</f>
        <v>3</v>
      </c>
      <c r="W110" s="103">
        <f>+M50</f>
        <v>1</v>
      </c>
      <c r="X110" s="103">
        <f>+N50</f>
        <v>2</v>
      </c>
      <c r="Y110" s="103">
        <f>+O50</f>
        <v>-1</v>
      </c>
      <c r="Z110" s="87">
        <f t="shared" si="1"/>
        <v>30000</v>
      </c>
      <c r="AA110" s="87">
        <f t="shared" si="2"/>
        <v>-1000</v>
      </c>
      <c r="AB110" s="87">
        <f t="shared" si="3"/>
        <v>100</v>
      </c>
      <c r="AC110" s="104">
        <f>+SUM(Z110:AB110)+0.06</f>
        <v>29100.06</v>
      </c>
      <c r="AD110" s="105">
        <f>+LARGE($AC$105:$AC$116,6)</f>
        <v>28100.003000000001</v>
      </c>
      <c r="AE110" s="1">
        <f t="shared" si="4"/>
        <v>12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87"/>
      <c r="AR110" s="87"/>
      <c r="AS110" s="107"/>
      <c r="AT110" s="87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1"/>
      <c r="BJ110" s="1"/>
    </row>
    <row r="111" spans="2:62">
      <c r="B111" s="11"/>
      <c r="C111" s="12"/>
      <c r="D111" s="8"/>
      <c r="E111" s="13"/>
      <c r="F111" s="14"/>
      <c r="G111" s="7"/>
      <c r="I111" s="98">
        <f t="shared" si="0"/>
        <v>512</v>
      </c>
      <c r="J111" s="99" t="str">
        <f t="array" ref="J111">IF(ISBLANK(G56)," ",+INDEX($T$105:$T$116,AE111))</f>
        <v>J</v>
      </c>
      <c r="K111" s="100" t="str">
        <f t="array" ref="K111">IF(ISBLANK(G56)," ",INDEX($U$105:$U$116,AE111))</f>
        <v>ALG</v>
      </c>
      <c r="L111" s="101">
        <f t="array" ref="L111">INDEX($V$105:$V$116,AE111)</f>
        <v>3</v>
      </c>
      <c r="M111" s="101">
        <f t="array" ref="M111">INDEX($W$105:$W$116,AE111)</f>
        <v>1</v>
      </c>
      <c r="N111" s="101">
        <f t="array" ref="N111">INDEX($X$105:$X$116,AE111)</f>
        <v>3</v>
      </c>
      <c r="O111" s="101">
        <f t="array" ref="O111">INDEX($Y$105:$Y$116,AE111)</f>
        <v>-2</v>
      </c>
      <c r="Q111" s="102" t="s">
        <v>119</v>
      </c>
      <c r="R111" s="2">
        <v>64</v>
      </c>
      <c r="T111" s="102" t="s">
        <v>119</v>
      </c>
      <c r="U111" s="87" t="str">
        <f>+K58</f>
        <v>IRN</v>
      </c>
      <c r="V111" s="103">
        <f>+L58</f>
        <v>1</v>
      </c>
      <c r="W111" s="103">
        <f>+M58</f>
        <v>0</v>
      </c>
      <c r="X111" s="103">
        <f>+N58</f>
        <v>2</v>
      </c>
      <c r="Y111" s="103">
        <f>+O58</f>
        <v>-2</v>
      </c>
      <c r="Z111" s="87">
        <f t="shared" si="1"/>
        <v>10000</v>
      </c>
      <c r="AA111" s="87">
        <f t="shared" si="2"/>
        <v>-2000</v>
      </c>
      <c r="AB111" s="87">
        <f t="shared" si="3"/>
        <v>0</v>
      </c>
      <c r="AC111" s="104">
        <f>+SUM(Z111:AB111)+0.07</f>
        <v>8000.07</v>
      </c>
      <c r="AD111" s="105">
        <f>+LARGE($AC$105:$AC$116,7)</f>
        <v>28100.001</v>
      </c>
      <c r="AE111" s="1">
        <f t="shared" si="4"/>
        <v>10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87"/>
      <c r="AR111" s="87"/>
      <c r="AS111" s="107"/>
      <c r="AT111" s="87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1"/>
      <c r="BJ111" s="1"/>
    </row>
    <row r="112" spans="2:62">
      <c r="B112" s="11"/>
      <c r="C112" s="12"/>
      <c r="D112" s="8"/>
      <c r="E112" s="13"/>
      <c r="F112" s="14"/>
      <c r="G112" s="7"/>
      <c r="I112" s="98">
        <f t="shared" si="0"/>
        <v>1024</v>
      </c>
      <c r="J112" s="99" t="str">
        <f t="array" ref="J112">IF(ISBLANK(G64)," ",+INDEX($T$105:$T$116,AE112))</f>
        <v>K</v>
      </c>
      <c r="K112" s="100" t="str">
        <f t="array" ref="K112">IF(ISBLANK(G64)," ",INDEX($U$105:$U$116,AE112))</f>
        <v>UZB</v>
      </c>
      <c r="L112" s="101">
        <f t="array" ref="L112">INDEX($V$105:$V$116,AE112)</f>
        <v>3</v>
      </c>
      <c r="M112" s="101">
        <f t="array" ref="M112">INDEX($W$105:$W$116,AE112)</f>
        <v>1</v>
      </c>
      <c r="N112" s="101">
        <f t="array" ref="N112">INDEX($X$105:$X$116,AE112)</f>
        <v>5</v>
      </c>
      <c r="O112" s="101">
        <f t="array" ref="O112">INDEX($Y$105:$Y$116,AE112)</f>
        <v>-4</v>
      </c>
      <c r="Q112" s="102" t="s">
        <v>120</v>
      </c>
      <c r="R112" s="2">
        <v>128</v>
      </c>
      <c r="T112" s="102" t="s">
        <v>120</v>
      </c>
      <c r="U112" s="87" t="str">
        <f>+K66</f>
        <v>KSA</v>
      </c>
      <c r="V112" s="103">
        <f>+L66</f>
        <v>1</v>
      </c>
      <c r="W112" s="103">
        <f>+M66</f>
        <v>0</v>
      </c>
      <c r="X112" s="103">
        <f>+N66</f>
        <v>5</v>
      </c>
      <c r="Y112" s="103">
        <f>+O66</f>
        <v>-5</v>
      </c>
      <c r="Z112" s="87">
        <f t="shared" si="1"/>
        <v>10000</v>
      </c>
      <c r="AA112" s="87">
        <f t="shared" si="2"/>
        <v>-5000</v>
      </c>
      <c r="AB112" s="87">
        <f t="shared" si="3"/>
        <v>0</v>
      </c>
      <c r="AC112" s="104">
        <f>+SUM(Z112:AB112)+0.08</f>
        <v>5000.08</v>
      </c>
      <c r="AD112" s="105">
        <f>+LARGE($AC$105:$AC$116,8)</f>
        <v>26100.002</v>
      </c>
      <c r="AE112" s="1">
        <f t="shared" si="4"/>
        <v>11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1"/>
      <c r="BJ112" s="1"/>
    </row>
    <row r="113" spans="2:62">
      <c r="B113" s="11"/>
      <c r="C113" s="12"/>
      <c r="D113" s="8"/>
      <c r="E113" s="13"/>
      <c r="F113" s="14"/>
      <c r="G113" s="7"/>
      <c r="I113" s="8"/>
      <c r="J113" s="108" t="str">
        <f t="array" ref="J113">IF(ISBLANK(G72)," ",+INDEX($T$105:$T$116,AE113))</f>
        <v>D</v>
      </c>
      <c r="K113" s="109" t="str">
        <f t="array" ref="K113">IF(ISBLANK(G72)," ",+INDEX($U$105:$U$116,AE113))</f>
        <v>PAR</v>
      </c>
      <c r="L113" s="110">
        <f t="array" ref="L113">INDEX($V$105:$V$116,AE113)</f>
        <v>2</v>
      </c>
      <c r="M113" s="110">
        <f t="array" ref="M113">INDEX($W$105:$W$116,AE113)</f>
        <v>0</v>
      </c>
      <c r="N113" s="110">
        <f t="array" ref="N113">INDEX($X$105:$X$116,AE113)</f>
        <v>1</v>
      </c>
      <c r="O113" s="110">
        <f t="array" ref="O113">INDEX($Y$105:$Y$116,AE113)</f>
        <v>-1</v>
      </c>
      <c r="Q113" s="102" t="s">
        <v>121</v>
      </c>
      <c r="R113" s="2">
        <v>256</v>
      </c>
      <c r="T113" s="102" t="s">
        <v>121</v>
      </c>
      <c r="U113" s="87" t="str">
        <f>+K74</f>
        <v>SEN</v>
      </c>
      <c r="V113" s="103">
        <f>+L74</f>
        <v>4</v>
      </c>
      <c r="W113" s="103">
        <f>+M74</f>
        <v>2</v>
      </c>
      <c r="X113" s="103">
        <f>+N74</f>
        <v>3</v>
      </c>
      <c r="Y113" s="103">
        <f>+O74</f>
        <v>-1</v>
      </c>
      <c r="Z113" s="87">
        <f t="shared" si="1"/>
        <v>40000</v>
      </c>
      <c r="AA113" s="87">
        <f t="shared" si="2"/>
        <v>-1000</v>
      </c>
      <c r="AB113" s="87">
        <f t="shared" si="3"/>
        <v>200</v>
      </c>
      <c r="AC113" s="104">
        <f>+SUM(Z113:AB113)+0.09</f>
        <v>39200.089999999997</v>
      </c>
      <c r="AD113" s="105">
        <f>+LARGE($AC$105:$AC$116,9)</f>
        <v>19000.04</v>
      </c>
      <c r="AE113" s="1">
        <f t="shared" si="4"/>
        <v>4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1"/>
      <c r="BJ113" s="1"/>
    </row>
    <row r="114" spans="2:62">
      <c r="B114" s="11"/>
      <c r="C114" s="12"/>
      <c r="D114" s="8"/>
      <c r="E114" s="13"/>
      <c r="F114" s="14"/>
      <c r="G114" s="7"/>
      <c r="I114" s="8"/>
      <c r="J114" s="108" t="str">
        <f t="array" ref="J114">IF(ISBLANK(G80)," ",+INDEX($T$105:$T$116,AE114))</f>
        <v>A</v>
      </c>
      <c r="K114" s="109" t="str">
        <f t="array" ref="K114">IF(ISBLANK(G80)," ",INDEX($U$105:$U$116,AE114))</f>
        <v>CZE</v>
      </c>
      <c r="L114" s="110">
        <f t="array" ref="L114">INDEX($V$105:$V$116,AE114)</f>
        <v>2</v>
      </c>
      <c r="M114" s="110">
        <f t="array" ref="M114">INDEX($W$105:$W$116,AE114)</f>
        <v>0</v>
      </c>
      <c r="N114" s="110">
        <f t="array" ref="N114">INDEX($X$105:$X$116,AE114)</f>
        <v>1</v>
      </c>
      <c r="O114" s="110">
        <f t="array" ref="O114">INDEX($Y$105:$Y$116,AE114)</f>
        <v>-1</v>
      </c>
      <c r="Q114" s="102" t="s">
        <v>122</v>
      </c>
      <c r="R114" s="2">
        <v>512</v>
      </c>
      <c r="T114" s="102" t="s">
        <v>122</v>
      </c>
      <c r="U114" s="87" t="str">
        <f>+K82</f>
        <v>ALG</v>
      </c>
      <c r="V114" s="103">
        <f>+L82</f>
        <v>3</v>
      </c>
      <c r="W114" s="103">
        <f>+M82</f>
        <v>1</v>
      </c>
      <c r="X114" s="103">
        <f>+N82</f>
        <v>3</v>
      </c>
      <c r="Y114" s="103">
        <f>+O82</f>
        <v>-2</v>
      </c>
      <c r="Z114" s="87">
        <f t="shared" si="1"/>
        <v>30000</v>
      </c>
      <c r="AA114" s="87">
        <f t="shared" si="2"/>
        <v>-2000</v>
      </c>
      <c r="AB114" s="87">
        <f t="shared" si="3"/>
        <v>100</v>
      </c>
      <c r="AC114" s="104">
        <f>+SUM(Z114:AB114)+0.001</f>
        <v>28100.001</v>
      </c>
      <c r="AD114" s="105">
        <f>+LARGE($AC$105:$AC$116,10)</f>
        <v>19000.009999999998</v>
      </c>
      <c r="AE114" s="1">
        <f t="shared" si="4"/>
        <v>1</v>
      </c>
      <c r="AQ114" s="3"/>
      <c r="AR114" s="3"/>
      <c r="AS114" s="3"/>
      <c r="AT114" s="3"/>
      <c r="AU114" s="3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2:62">
      <c r="B115" s="11"/>
      <c r="C115" s="12"/>
      <c r="D115" s="8"/>
      <c r="E115" s="13"/>
      <c r="F115" s="14"/>
      <c r="G115" s="7"/>
      <c r="I115" s="8"/>
      <c r="J115" s="108" t="str">
        <f t="array" ref="J115">IF(ISBLANK(G88)," ",+INDEX($T$105:$T$116,AE115))</f>
        <v>G</v>
      </c>
      <c r="K115" s="109" t="str">
        <f t="array" ref="K115">IF(ISBLANK(G88)," ",INDEX($U$105:$U$116,AE115))</f>
        <v>IRN</v>
      </c>
      <c r="L115" s="110">
        <f t="array" ref="L115">INDEX($V$105:$V$116,AE115)</f>
        <v>1</v>
      </c>
      <c r="M115" s="110">
        <f t="array" ref="M115">INDEX($W$105:$W$116,AE115)</f>
        <v>0</v>
      </c>
      <c r="N115" s="110">
        <f t="array" ref="N115">INDEX($X$105:$X$116,AE115)</f>
        <v>2</v>
      </c>
      <c r="O115" s="110">
        <f t="array" ref="O115">INDEX($Y$105:$Y$116,AE115)</f>
        <v>-2</v>
      </c>
      <c r="Q115" s="102" t="s">
        <v>123</v>
      </c>
      <c r="R115" s="2">
        <v>1024</v>
      </c>
      <c r="T115" s="102" t="s">
        <v>123</v>
      </c>
      <c r="U115" s="87" t="str">
        <f>+K90</f>
        <v>UZB</v>
      </c>
      <c r="V115" s="103">
        <f>+L90</f>
        <v>3</v>
      </c>
      <c r="W115" s="103">
        <f>+M90</f>
        <v>1</v>
      </c>
      <c r="X115" s="103">
        <f>+N90</f>
        <v>5</v>
      </c>
      <c r="Y115" s="103">
        <f>+O90</f>
        <v>-4</v>
      </c>
      <c r="Z115" s="87">
        <f t="shared" si="1"/>
        <v>30000</v>
      </c>
      <c r="AA115" s="87">
        <f t="shared" si="2"/>
        <v>-4000</v>
      </c>
      <c r="AB115" s="87">
        <f t="shared" si="3"/>
        <v>100</v>
      </c>
      <c r="AC115" s="104">
        <f>+SUM(Z115:AB115)+0.002</f>
        <v>26100.002</v>
      </c>
      <c r="AD115" s="105">
        <f>+LARGE($AC$105:$AC$116,11)</f>
        <v>8000.07</v>
      </c>
      <c r="AE115" s="1">
        <f t="shared" si="4"/>
        <v>7</v>
      </c>
      <c r="AQ115" s="3"/>
      <c r="AR115" s="3"/>
      <c r="AS115" s="3"/>
      <c r="AT115" s="3"/>
      <c r="AU115" s="3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2:62">
      <c r="B116" s="11"/>
      <c r="C116" s="12"/>
      <c r="D116" s="8"/>
      <c r="E116" s="13"/>
      <c r="F116" s="14"/>
      <c r="G116" s="7"/>
      <c r="I116" s="8"/>
      <c r="J116" s="108" t="str">
        <f t="array" ref="J116">IF(ISBLANK(G96)," ",+INDEX($T$105:$T$116,AE116))</f>
        <v>H</v>
      </c>
      <c r="K116" s="109" t="str">
        <f t="array" ref="K116">IF(ISBLANK(G96)," ",INDEX($U$105:$U$116,AE116))</f>
        <v>KSA</v>
      </c>
      <c r="L116" s="110">
        <f t="array" ref="L116">INDEX($V$105:$V$116,AE116)</f>
        <v>1</v>
      </c>
      <c r="M116" s="110">
        <f t="array" ref="M116">INDEX($W$105:$W$116,AE116)</f>
        <v>0</v>
      </c>
      <c r="N116" s="110">
        <f t="array" ref="N116">INDEX($X$105:$X$116,AE116)</f>
        <v>5</v>
      </c>
      <c r="O116" s="110">
        <f t="array" ref="O116">INDEX($Y$105:$Y$116,AE116)</f>
        <v>-5</v>
      </c>
      <c r="Q116" s="102" t="s">
        <v>124</v>
      </c>
      <c r="R116" s="2">
        <v>2048</v>
      </c>
      <c r="T116" s="102" t="s">
        <v>124</v>
      </c>
      <c r="U116" s="87" t="str">
        <f>+K98</f>
        <v>GHA</v>
      </c>
      <c r="V116" s="103">
        <f>+L98</f>
        <v>3</v>
      </c>
      <c r="W116" s="103">
        <f>+M98</f>
        <v>1</v>
      </c>
      <c r="X116" s="103">
        <f>+N98</f>
        <v>3</v>
      </c>
      <c r="Y116" s="103">
        <f>+O98</f>
        <v>-2</v>
      </c>
      <c r="Z116" s="87">
        <f t="shared" si="1"/>
        <v>30000</v>
      </c>
      <c r="AA116" s="87">
        <f t="shared" si="2"/>
        <v>-2000</v>
      </c>
      <c r="AB116" s="87">
        <f t="shared" si="3"/>
        <v>100</v>
      </c>
      <c r="AC116" s="104">
        <f>+SUM(Z116:AB116)+0.003</f>
        <v>28100.003000000001</v>
      </c>
      <c r="AD116" s="105">
        <f>+LARGE($AC$105:$AC$116,12)</f>
        <v>5000.08</v>
      </c>
      <c r="AE116" s="1">
        <f t="shared" si="4"/>
        <v>8</v>
      </c>
      <c r="AL116" s="111"/>
      <c r="AM116" s="111"/>
      <c r="AN116" s="111"/>
      <c r="AO116" s="111"/>
      <c r="AP116" s="111"/>
      <c r="AQ116" s="111"/>
      <c r="AR116" s="111"/>
      <c r="AS116" s="111"/>
      <c r="AT116" s="3"/>
      <c r="AU116" s="3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2:62">
      <c r="B117" s="11"/>
      <c r="C117" s="12"/>
      <c r="D117" s="8"/>
      <c r="E117" s="13"/>
      <c r="F117" s="14"/>
      <c r="G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L117" s="237"/>
      <c r="AM117" s="230"/>
      <c r="AN117" s="230"/>
      <c r="AO117" s="230"/>
      <c r="AP117" s="237"/>
      <c r="AQ117" s="230"/>
      <c r="AR117" s="230"/>
      <c r="AS117" s="230"/>
      <c r="AT117" s="3"/>
      <c r="AU117" s="3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2:62">
      <c r="B118" s="11"/>
      <c r="C118" s="12"/>
      <c r="D118" s="8"/>
      <c r="E118" s="13"/>
      <c r="F118" s="14"/>
      <c r="G118" s="13"/>
      <c r="H118" s="15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7"/>
      <c r="AC118" s="87"/>
      <c r="AD118" s="87"/>
      <c r="AE118" s="112"/>
      <c r="AF118" s="112"/>
      <c r="AG118" s="112"/>
      <c r="AH118" s="112"/>
      <c r="AI118" s="111"/>
      <c r="AJ118" s="111"/>
      <c r="AK118" s="111"/>
      <c r="AL118" s="111"/>
      <c r="AM118" s="111"/>
      <c r="AN118" s="111"/>
      <c r="AO118" s="111"/>
      <c r="AP118" s="111"/>
      <c r="AQ118" s="3"/>
      <c r="AR118" s="3"/>
      <c r="AS118" s="3"/>
      <c r="AT118" s="3"/>
      <c r="AU118" s="3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2:62">
      <c r="B119" s="11"/>
      <c r="C119" s="12"/>
      <c r="D119" s="8"/>
      <c r="E119" s="13"/>
      <c r="F119" s="14"/>
      <c r="G119" s="13"/>
      <c r="H119" s="15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7"/>
      <c r="AC119" s="87"/>
      <c r="AD119" s="87"/>
      <c r="AE119" s="112"/>
      <c r="AF119" s="112"/>
      <c r="AG119" s="112"/>
      <c r="AH119" s="112"/>
      <c r="AI119" s="111"/>
      <c r="AJ119" s="111"/>
      <c r="AK119" s="111"/>
      <c r="AL119" s="113" t="s">
        <v>125</v>
      </c>
      <c r="AM119" s="113" t="s">
        <v>126</v>
      </c>
      <c r="AN119" s="113" t="s">
        <v>127</v>
      </c>
      <c r="AO119" s="113" t="s">
        <v>128</v>
      </c>
      <c r="AP119" s="113" t="s">
        <v>129</v>
      </c>
      <c r="AQ119" s="113" t="s">
        <v>130</v>
      </c>
      <c r="AR119" s="113" t="s">
        <v>131</v>
      </c>
      <c r="AS119" s="113" t="s">
        <v>132</v>
      </c>
      <c r="AT119" s="3"/>
      <c r="AU119" s="3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2:62">
      <c r="B120" s="11"/>
      <c r="C120" s="12"/>
      <c r="D120" s="8"/>
      <c r="E120" s="13"/>
      <c r="F120" s="14"/>
      <c r="G120" s="13"/>
      <c r="H120" s="15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7"/>
      <c r="AC120" s="87"/>
      <c r="AD120" s="87"/>
      <c r="AE120" s="112"/>
      <c r="AF120" s="112"/>
      <c r="AG120" s="112"/>
      <c r="AH120" s="112"/>
      <c r="AI120" s="111"/>
      <c r="AJ120" s="111"/>
      <c r="AK120" s="111"/>
      <c r="AL120" s="114" t="str">
        <f t="array" ref="AL120">INDEX($AL$125:$AS$619,MATCH($I$104,$AJ$125:$AJ$619,0),1)</f>
        <v>E</v>
      </c>
      <c r="AM120" s="114" t="str">
        <f t="array" ref="AM120">INDEX($AL$125:$AS$619,MATCH($I$104,$AJ$125:$AJ$619,0),2)</f>
        <v>J</v>
      </c>
      <c r="AN120" s="114" t="str">
        <f t="array" ref="AN120">INDEX($AL$125:$AS$619,MATCH($I$104,$AJ$125:$AJ$619,0),3)</f>
        <v>B</v>
      </c>
      <c r="AO120" s="114" t="str">
        <f t="array" ref="AO120">INDEX($AL$125:$AS$619,MATCH($I$104,$AJ$125:$AJ$619,0),4)</f>
        <v>C</v>
      </c>
      <c r="AP120" s="114" t="str">
        <f t="array" ref="AP120">INDEX($AL$125:$AS$619,MATCH($I$104,$AJ$125:$AJ$619,0),5)</f>
        <v>I</v>
      </c>
      <c r="AQ120" s="114" t="str">
        <f t="array" ref="AQ120">INDEX($AL$125:$AS$619,MATCH($I$104,$AJ$125:$AJ$619,0),6)</f>
        <v>F</v>
      </c>
      <c r="AR120" s="114" t="str">
        <f t="array" ref="AR120">INDEX($AL$125:$AS$619,MATCH($I$104,$AJ$125:$AJ$619,0),7)</f>
        <v>L</v>
      </c>
      <c r="AS120" s="114" t="str">
        <f t="array" ref="AS120">INDEX($AL$125:$AS$619,MATCH($I$104,$AJ$125:$AJ$619,0),8)</f>
        <v>K</v>
      </c>
      <c r="AT120" s="3"/>
      <c r="AU120" s="3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2:62">
      <c r="B121" s="11"/>
      <c r="C121" s="12"/>
      <c r="D121" s="8"/>
      <c r="E121" s="13"/>
      <c r="F121" s="14"/>
      <c r="G121" s="13"/>
      <c r="H121" s="15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7"/>
      <c r="AC121" s="87"/>
      <c r="AD121" s="87"/>
      <c r="AE121" s="112"/>
      <c r="AF121" s="112"/>
      <c r="AG121" s="112"/>
      <c r="AH121" s="112"/>
      <c r="AI121" s="111"/>
      <c r="AJ121" s="111"/>
      <c r="AK121" s="111"/>
      <c r="AL121" s="115" t="str">
        <f t="shared" ref="AL121:AS121" si="5">+VLOOKUP(AL120,$J$105:$K$112,2,FALSE)</f>
        <v>CIV</v>
      </c>
      <c r="AM121" s="115" t="str">
        <f t="shared" si="5"/>
        <v>ALG</v>
      </c>
      <c r="AN121" s="115" t="str">
        <f t="shared" si="5"/>
        <v>BIH</v>
      </c>
      <c r="AO121" s="115" t="str">
        <f t="shared" si="5"/>
        <v>SCO</v>
      </c>
      <c r="AP121" s="115" t="str">
        <f t="shared" si="5"/>
        <v>SEN</v>
      </c>
      <c r="AQ121" s="115" t="str">
        <f t="shared" si="5"/>
        <v>SWE</v>
      </c>
      <c r="AR121" s="115" t="str">
        <f t="shared" si="5"/>
        <v>GHA</v>
      </c>
      <c r="AS121" s="115" t="str">
        <f t="shared" si="5"/>
        <v>UZB</v>
      </c>
      <c r="AT121" s="111"/>
      <c r="AU121" s="111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2:62">
      <c r="B122" s="11"/>
      <c r="C122" s="12"/>
      <c r="D122" s="8"/>
      <c r="E122" s="13"/>
      <c r="F122" s="14"/>
      <c r="G122" s="13"/>
      <c r="H122" s="1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2:62">
      <c r="B123" s="11"/>
      <c r="C123" s="12"/>
      <c r="D123" s="8"/>
      <c r="E123" s="13"/>
      <c r="F123" s="14"/>
      <c r="G123" s="13"/>
      <c r="H123" s="1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2:62">
      <c r="B124" s="11"/>
      <c r="C124" s="12"/>
      <c r="D124" s="8"/>
      <c r="E124" s="13"/>
      <c r="F124" s="14"/>
      <c r="G124" s="13"/>
      <c r="H124" s="15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 t="s">
        <v>133</v>
      </c>
      <c r="AK124" s="113" t="s">
        <v>134</v>
      </c>
      <c r="AL124" s="113" t="s">
        <v>125</v>
      </c>
      <c r="AM124" s="113" t="s">
        <v>126</v>
      </c>
      <c r="AN124" s="113" t="s">
        <v>127</v>
      </c>
      <c r="AO124" s="113" t="s">
        <v>128</v>
      </c>
      <c r="AP124" s="113" t="s">
        <v>129</v>
      </c>
      <c r="AQ124" s="113" t="s">
        <v>130</v>
      </c>
      <c r="AR124" s="113" t="s">
        <v>131</v>
      </c>
      <c r="AS124" s="113" t="s">
        <v>132</v>
      </c>
      <c r="AT124" s="8"/>
      <c r="AU124" s="113" t="s">
        <v>125</v>
      </c>
      <c r="AV124" s="113" t="s">
        <v>126</v>
      </c>
      <c r="AW124" s="113" t="s">
        <v>127</v>
      </c>
      <c r="AX124" s="113" t="s">
        <v>128</v>
      </c>
      <c r="AY124" s="113" t="s">
        <v>129</v>
      </c>
      <c r="AZ124" s="113" t="s">
        <v>130</v>
      </c>
      <c r="BA124" s="113" t="s">
        <v>131</v>
      </c>
      <c r="BB124" s="116" t="s">
        <v>132</v>
      </c>
      <c r="BC124" s="117" t="s">
        <v>135</v>
      </c>
      <c r="BD124" s="8"/>
      <c r="BE124" s="8"/>
      <c r="BF124" s="8"/>
      <c r="BG124" s="8"/>
      <c r="BH124" s="8"/>
    </row>
    <row r="125" spans="2:62">
      <c r="B125" s="11"/>
      <c r="C125" s="12"/>
      <c r="D125" s="8"/>
      <c r="E125" s="13"/>
      <c r="F125" s="14"/>
      <c r="G125" s="13"/>
      <c r="H125" s="15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2">
        <v>4080</v>
      </c>
      <c r="AK125" s="118">
        <v>1</v>
      </c>
      <c r="AL125" s="119" t="s">
        <v>117</v>
      </c>
      <c r="AM125" s="119" t="s">
        <v>122</v>
      </c>
      <c r="AN125" s="119" t="s">
        <v>121</v>
      </c>
      <c r="AO125" s="119" t="s">
        <v>118</v>
      </c>
      <c r="AP125" s="119" t="s">
        <v>120</v>
      </c>
      <c r="AQ125" s="119" t="s">
        <v>119</v>
      </c>
      <c r="AR125" s="119" t="s">
        <v>124</v>
      </c>
      <c r="AS125" s="119" t="s">
        <v>123</v>
      </c>
      <c r="AT125" s="8"/>
      <c r="AU125" s="8">
        <f t="shared" ref="AU125:AU188" si="6">+VLOOKUP(AL125,$Q$105:$R$116,2)</f>
        <v>16</v>
      </c>
      <c r="AV125" s="8">
        <f t="shared" ref="AV125:AV188" si="7">+VLOOKUP(AM125,$Q$105:$R$116,2)</f>
        <v>512</v>
      </c>
      <c r="AW125" s="8">
        <f t="shared" ref="AW125:AW188" si="8">+VLOOKUP(AN125,$Q$105:$R$116,2)</f>
        <v>256</v>
      </c>
      <c r="AX125" s="8">
        <f t="shared" ref="AX125:AX188" si="9">+VLOOKUP(AO125,$Q$105:$R$116,2)</f>
        <v>32</v>
      </c>
      <c r="AY125" s="8">
        <f t="shared" ref="AY125:AY188" si="10">+VLOOKUP(AP125,$Q$105:$R$116,2)</f>
        <v>128</v>
      </c>
      <c r="AZ125" s="8">
        <f t="shared" ref="AZ125:AZ188" si="11">+VLOOKUP(AQ125,$Q$105:$R$116,2)</f>
        <v>64</v>
      </c>
      <c r="BA125" s="8">
        <f t="shared" ref="BA125:BA188" si="12">+VLOOKUP(AR125,$Q$105:$R$116,2)</f>
        <v>2048</v>
      </c>
      <c r="BB125" s="8">
        <f t="shared" ref="BB125:BB188" si="13">+VLOOKUP(AS125,$Q$105:$R$116,2)</f>
        <v>1024</v>
      </c>
      <c r="BC125" s="8">
        <f t="shared" ref="BC125:BC188" si="14">+SUM(AU125:BB125)</f>
        <v>4080</v>
      </c>
      <c r="BD125" s="8"/>
      <c r="BE125" s="8"/>
      <c r="BF125" s="8"/>
      <c r="BG125" s="8"/>
      <c r="BH125" s="8"/>
    </row>
    <row r="126" spans="2:62">
      <c r="B126" s="11"/>
      <c r="C126" s="12"/>
      <c r="D126" s="8"/>
      <c r="E126" s="13"/>
      <c r="F126" s="14"/>
      <c r="G126" s="13"/>
      <c r="H126" s="15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2">
        <v>4072</v>
      </c>
      <c r="AK126" s="118">
        <v>2</v>
      </c>
      <c r="AL126" s="119" t="s">
        <v>120</v>
      </c>
      <c r="AM126" s="119" t="s">
        <v>119</v>
      </c>
      <c r="AN126" s="119" t="s">
        <v>121</v>
      </c>
      <c r="AO126" s="119" t="s">
        <v>116</v>
      </c>
      <c r="AP126" s="119" t="s">
        <v>122</v>
      </c>
      <c r="AQ126" s="119" t="s">
        <v>118</v>
      </c>
      <c r="AR126" s="119" t="s">
        <v>124</v>
      </c>
      <c r="AS126" s="119" t="s">
        <v>123</v>
      </c>
      <c r="AT126" s="8"/>
      <c r="AU126" s="8">
        <f t="shared" si="6"/>
        <v>128</v>
      </c>
      <c r="AV126" s="8">
        <f t="shared" si="7"/>
        <v>64</v>
      </c>
      <c r="AW126" s="8">
        <f t="shared" si="8"/>
        <v>256</v>
      </c>
      <c r="AX126" s="8">
        <f t="shared" si="9"/>
        <v>8</v>
      </c>
      <c r="AY126" s="8">
        <f t="shared" si="10"/>
        <v>512</v>
      </c>
      <c r="AZ126" s="8">
        <f t="shared" si="11"/>
        <v>32</v>
      </c>
      <c r="BA126" s="8">
        <f t="shared" si="12"/>
        <v>2048</v>
      </c>
      <c r="BB126" s="8">
        <f t="shared" si="13"/>
        <v>1024</v>
      </c>
      <c r="BC126" s="8">
        <f t="shared" si="14"/>
        <v>4072</v>
      </c>
      <c r="BD126" s="8"/>
      <c r="BE126" s="8"/>
      <c r="BF126" s="8"/>
      <c r="BG126" s="8"/>
      <c r="BH126" s="8"/>
    </row>
    <row r="127" spans="2:62">
      <c r="B127" s="11"/>
      <c r="C127" s="12"/>
      <c r="D127" s="8"/>
      <c r="E127" s="13"/>
      <c r="F127" s="14"/>
      <c r="G127" s="13"/>
      <c r="H127" s="15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2">
        <v>4056</v>
      </c>
      <c r="AK127" s="118">
        <v>3</v>
      </c>
      <c r="AL127" s="119" t="s">
        <v>117</v>
      </c>
      <c r="AM127" s="119" t="s">
        <v>122</v>
      </c>
      <c r="AN127" s="119" t="s">
        <v>121</v>
      </c>
      <c r="AO127" s="119" t="s">
        <v>116</v>
      </c>
      <c r="AP127" s="119" t="s">
        <v>120</v>
      </c>
      <c r="AQ127" s="119" t="s">
        <v>119</v>
      </c>
      <c r="AR127" s="119" t="s">
        <v>124</v>
      </c>
      <c r="AS127" s="119" t="s">
        <v>123</v>
      </c>
      <c r="AT127" s="8"/>
      <c r="AU127" s="8">
        <f t="shared" si="6"/>
        <v>16</v>
      </c>
      <c r="AV127" s="8">
        <f t="shared" si="7"/>
        <v>512</v>
      </c>
      <c r="AW127" s="8">
        <f t="shared" si="8"/>
        <v>256</v>
      </c>
      <c r="AX127" s="8">
        <f t="shared" si="9"/>
        <v>8</v>
      </c>
      <c r="AY127" s="8">
        <f t="shared" si="10"/>
        <v>128</v>
      </c>
      <c r="AZ127" s="8">
        <f t="shared" si="11"/>
        <v>64</v>
      </c>
      <c r="BA127" s="8">
        <f t="shared" si="12"/>
        <v>2048</v>
      </c>
      <c r="BB127" s="8">
        <f t="shared" si="13"/>
        <v>1024</v>
      </c>
      <c r="BC127" s="8">
        <f t="shared" si="14"/>
        <v>4056</v>
      </c>
      <c r="BD127" s="8"/>
      <c r="BE127" s="8"/>
      <c r="BF127" s="8"/>
      <c r="BG127" s="8"/>
      <c r="BH127" s="8"/>
    </row>
    <row r="128" spans="2:62">
      <c r="B128" s="11"/>
      <c r="C128" s="12"/>
      <c r="D128" s="8"/>
      <c r="E128" s="13"/>
      <c r="F128" s="14"/>
      <c r="G128" s="13"/>
      <c r="H128" s="15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2">
        <v>4024</v>
      </c>
      <c r="AK128" s="118">
        <v>4</v>
      </c>
      <c r="AL128" s="119" t="s">
        <v>117</v>
      </c>
      <c r="AM128" s="119" t="s">
        <v>122</v>
      </c>
      <c r="AN128" s="119" t="s">
        <v>121</v>
      </c>
      <c r="AO128" s="119" t="s">
        <v>116</v>
      </c>
      <c r="AP128" s="119" t="s">
        <v>120</v>
      </c>
      <c r="AQ128" s="119" t="s">
        <v>118</v>
      </c>
      <c r="AR128" s="119" t="s">
        <v>124</v>
      </c>
      <c r="AS128" s="119" t="s">
        <v>123</v>
      </c>
      <c r="AT128" s="8"/>
      <c r="AU128" s="8">
        <f t="shared" si="6"/>
        <v>16</v>
      </c>
      <c r="AV128" s="8">
        <f t="shared" si="7"/>
        <v>512</v>
      </c>
      <c r="AW128" s="8">
        <f t="shared" si="8"/>
        <v>256</v>
      </c>
      <c r="AX128" s="8">
        <f t="shared" si="9"/>
        <v>8</v>
      </c>
      <c r="AY128" s="8">
        <f t="shared" si="10"/>
        <v>128</v>
      </c>
      <c r="AZ128" s="8">
        <f t="shared" si="11"/>
        <v>32</v>
      </c>
      <c r="BA128" s="8">
        <f t="shared" si="12"/>
        <v>2048</v>
      </c>
      <c r="BB128" s="8">
        <f t="shared" si="13"/>
        <v>1024</v>
      </c>
      <c r="BC128" s="8">
        <f t="shared" si="14"/>
        <v>4024</v>
      </c>
      <c r="BD128" s="8"/>
      <c r="BE128" s="8"/>
      <c r="BF128" s="8"/>
      <c r="BG128" s="8"/>
      <c r="BH128" s="8"/>
    </row>
    <row r="129" spans="2:60">
      <c r="B129" s="11"/>
      <c r="C129" s="12"/>
      <c r="D129" s="8"/>
      <c r="E129" s="13"/>
      <c r="F129" s="14"/>
      <c r="G129" s="13"/>
      <c r="H129" s="15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2">
        <v>3960</v>
      </c>
      <c r="AK129" s="118">
        <v>5</v>
      </c>
      <c r="AL129" s="119" t="s">
        <v>117</v>
      </c>
      <c r="AM129" s="119" t="s">
        <v>119</v>
      </c>
      <c r="AN129" s="119" t="s">
        <v>121</v>
      </c>
      <c r="AO129" s="119" t="s">
        <v>116</v>
      </c>
      <c r="AP129" s="119" t="s">
        <v>122</v>
      </c>
      <c r="AQ129" s="119" t="s">
        <v>118</v>
      </c>
      <c r="AR129" s="119" t="s">
        <v>124</v>
      </c>
      <c r="AS129" s="119" t="s">
        <v>123</v>
      </c>
      <c r="AT129" s="8"/>
      <c r="AU129" s="8">
        <f t="shared" si="6"/>
        <v>16</v>
      </c>
      <c r="AV129" s="8">
        <f t="shared" si="7"/>
        <v>64</v>
      </c>
      <c r="AW129" s="8">
        <f t="shared" si="8"/>
        <v>256</v>
      </c>
      <c r="AX129" s="8">
        <f t="shared" si="9"/>
        <v>8</v>
      </c>
      <c r="AY129" s="8">
        <f t="shared" si="10"/>
        <v>512</v>
      </c>
      <c r="AZ129" s="8">
        <f t="shared" si="11"/>
        <v>32</v>
      </c>
      <c r="BA129" s="8">
        <f t="shared" si="12"/>
        <v>2048</v>
      </c>
      <c r="BB129" s="8">
        <f t="shared" si="13"/>
        <v>1024</v>
      </c>
      <c r="BC129" s="8">
        <f t="shared" si="14"/>
        <v>3960</v>
      </c>
      <c r="BD129" s="8"/>
      <c r="BE129" s="8"/>
      <c r="BF129" s="8"/>
      <c r="BG129" s="8"/>
      <c r="BH129" s="8"/>
    </row>
    <row r="130" spans="2:60">
      <c r="B130" s="11"/>
      <c r="C130" s="12"/>
      <c r="D130" s="8"/>
      <c r="E130" s="13"/>
      <c r="F130" s="14"/>
      <c r="G130" s="13"/>
      <c r="H130" s="15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2">
        <v>3832</v>
      </c>
      <c r="AK130" s="118">
        <v>6</v>
      </c>
      <c r="AL130" s="119" t="s">
        <v>117</v>
      </c>
      <c r="AM130" s="119" t="s">
        <v>119</v>
      </c>
      <c r="AN130" s="119" t="s">
        <v>122</v>
      </c>
      <c r="AO130" s="119" t="s">
        <v>116</v>
      </c>
      <c r="AP130" s="119" t="s">
        <v>120</v>
      </c>
      <c r="AQ130" s="119" t="s">
        <v>118</v>
      </c>
      <c r="AR130" s="119" t="s">
        <v>124</v>
      </c>
      <c r="AS130" s="119" t="s">
        <v>123</v>
      </c>
      <c r="AT130" s="8"/>
      <c r="AU130" s="8">
        <f t="shared" si="6"/>
        <v>16</v>
      </c>
      <c r="AV130" s="8">
        <f t="shared" si="7"/>
        <v>64</v>
      </c>
      <c r="AW130" s="8">
        <f t="shared" si="8"/>
        <v>512</v>
      </c>
      <c r="AX130" s="8">
        <f t="shared" si="9"/>
        <v>8</v>
      </c>
      <c r="AY130" s="8">
        <f t="shared" si="10"/>
        <v>128</v>
      </c>
      <c r="AZ130" s="8">
        <f t="shared" si="11"/>
        <v>32</v>
      </c>
      <c r="BA130" s="8">
        <f t="shared" si="12"/>
        <v>2048</v>
      </c>
      <c r="BB130" s="8">
        <f t="shared" si="13"/>
        <v>1024</v>
      </c>
      <c r="BC130" s="8">
        <f t="shared" si="14"/>
        <v>3832</v>
      </c>
      <c r="BD130" s="8"/>
      <c r="BE130" s="8"/>
      <c r="BF130" s="8"/>
      <c r="BG130" s="8"/>
      <c r="BH130" s="8"/>
    </row>
    <row r="131" spans="2:60">
      <c r="B131" s="11"/>
      <c r="C131" s="12"/>
      <c r="D131" s="8"/>
      <c r="E131" s="13"/>
      <c r="F131" s="14"/>
      <c r="G131" s="13"/>
      <c r="H131" s="15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2">
        <v>3576</v>
      </c>
      <c r="AK131" s="118">
        <v>7</v>
      </c>
      <c r="AL131" s="119" t="s">
        <v>117</v>
      </c>
      <c r="AM131" s="119" t="s">
        <v>119</v>
      </c>
      <c r="AN131" s="119" t="s">
        <v>121</v>
      </c>
      <c r="AO131" s="119" t="s">
        <v>116</v>
      </c>
      <c r="AP131" s="119" t="s">
        <v>120</v>
      </c>
      <c r="AQ131" s="119" t="s">
        <v>118</v>
      </c>
      <c r="AR131" s="119" t="s">
        <v>124</v>
      </c>
      <c r="AS131" s="119" t="s">
        <v>123</v>
      </c>
      <c r="AT131" s="8"/>
      <c r="AU131" s="8">
        <f t="shared" si="6"/>
        <v>16</v>
      </c>
      <c r="AV131" s="8">
        <f t="shared" si="7"/>
        <v>64</v>
      </c>
      <c r="AW131" s="8">
        <f t="shared" si="8"/>
        <v>256</v>
      </c>
      <c r="AX131" s="8">
        <f t="shared" si="9"/>
        <v>8</v>
      </c>
      <c r="AY131" s="8">
        <f t="shared" si="10"/>
        <v>128</v>
      </c>
      <c r="AZ131" s="8">
        <f t="shared" si="11"/>
        <v>32</v>
      </c>
      <c r="BA131" s="8">
        <f t="shared" si="12"/>
        <v>2048</v>
      </c>
      <c r="BB131" s="8">
        <f t="shared" si="13"/>
        <v>1024</v>
      </c>
      <c r="BC131" s="8">
        <f t="shared" si="14"/>
        <v>3576</v>
      </c>
      <c r="BD131" s="8"/>
      <c r="BE131" s="8"/>
      <c r="BF131" s="8"/>
      <c r="BG131" s="8"/>
      <c r="BH131" s="8"/>
    </row>
    <row r="132" spans="2:60">
      <c r="B132" s="11"/>
      <c r="C132" s="12"/>
      <c r="D132" s="8"/>
      <c r="E132" s="13"/>
      <c r="F132" s="14"/>
      <c r="G132" s="13"/>
      <c r="H132" s="15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2">
        <v>3064</v>
      </c>
      <c r="AK132" s="118">
        <v>8</v>
      </c>
      <c r="AL132" s="119" t="s">
        <v>117</v>
      </c>
      <c r="AM132" s="119" t="s">
        <v>119</v>
      </c>
      <c r="AN132" s="119" t="s">
        <v>122</v>
      </c>
      <c r="AO132" s="119" t="s">
        <v>116</v>
      </c>
      <c r="AP132" s="119" t="s">
        <v>120</v>
      </c>
      <c r="AQ132" s="119" t="s">
        <v>118</v>
      </c>
      <c r="AR132" s="119" t="s">
        <v>124</v>
      </c>
      <c r="AS132" s="119" t="s">
        <v>121</v>
      </c>
      <c r="AT132" s="8"/>
      <c r="AU132" s="8">
        <f t="shared" si="6"/>
        <v>16</v>
      </c>
      <c r="AV132" s="8">
        <f t="shared" si="7"/>
        <v>64</v>
      </c>
      <c r="AW132" s="8">
        <f t="shared" si="8"/>
        <v>512</v>
      </c>
      <c r="AX132" s="8">
        <f t="shared" si="9"/>
        <v>8</v>
      </c>
      <c r="AY132" s="8">
        <f t="shared" si="10"/>
        <v>128</v>
      </c>
      <c r="AZ132" s="8">
        <f t="shared" si="11"/>
        <v>32</v>
      </c>
      <c r="BA132" s="8">
        <f t="shared" si="12"/>
        <v>2048</v>
      </c>
      <c r="BB132" s="8">
        <f t="shared" si="13"/>
        <v>256</v>
      </c>
      <c r="BC132" s="8">
        <f t="shared" si="14"/>
        <v>3064</v>
      </c>
      <c r="BD132" s="8"/>
      <c r="BE132" s="8"/>
      <c r="BF132" s="8"/>
      <c r="BG132" s="8"/>
      <c r="BH132" s="8"/>
    </row>
    <row r="133" spans="2:60">
      <c r="B133" s="11"/>
      <c r="C133" s="12"/>
      <c r="D133" s="8"/>
      <c r="E133" s="13"/>
      <c r="F133" s="14"/>
      <c r="G133" s="13"/>
      <c r="H133" s="15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2">
        <v>2040</v>
      </c>
      <c r="AK133" s="118">
        <v>9</v>
      </c>
      <c r="AL133" s="119" t="s">
        <v>117</v>
      </c>
      <c r="AM133" s="119" t="s">
        <v>119</v>
      </c>
      <c r="AN133" s="119" t="s">
        <v>122</v>
      </c>
      <c r="AO133" s="119" t="s">
        <v>116</v>
      </c>
      <c r="AP133" s="119" t="s">
        <v>120</v>
      </c>
      <c r="AQ133" s="119" t="s">
        <v>118</v>
      </c>
      <c r="AR133" s="119" t="s">
        <v>121</v>
      </c>
      <c r="AS133" s="119" t="s">
        <v>123</v>
      </c>
      <c r="AT133" s="8"/>
      <c r="AU133" s="8">
        <f t="shared" si="6"/>
        <v>16</v>
      </c>
      <c r="AV133" s="8">
        <f t="shared" si="7"/>
        <v>64</v>
      </c>
      <c r="AW133" s="8">
        <f t="shared" si="8"/>
        <v>512</v>
      </c>
      <c r="AX133" s="8">
        <f t="shared" si="9"/>
        <v>8</v>
      </c>
      <c r="AY133" s="8">
        <f t="shared" si="10"/>
        <v>128</v>
      </c>
      <c r="AZ133" s="8">
        <f t="shared" si="11"/>
        <v>32</v>
      </c>
      <c r="BA133" s="8">
        <f t="shared" si="12"/>
        <v>256</v>
      </c>
      <c r="BB133" s="8">
        <f t="shared" si="13"/>
        <v>1024</v>
      </c>
      <c r="BC133" s="8">
        <f t="shared" si="14"/>
        <v>2040</v>
      </c>
      <c r="BD133" s="8"/>
      <c r="BE133" s="8"/>
      <c r="BF133" s="8"/>
      <c r="BG133" s="8"/>
      <c r="BH133" s="8"/>
    </row>
    <row r="134" spans="2:60">
      <c r="B134" s="11"/>
      <c r="C134" s="12"/>
      <c r="D134" s="8"/>
      <c r="E134" s="13"/>
      <c r="F134" s="14"/>
      <c r="G134" s="13"/>
      <c r="H134" s="1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2">
        <v>4068</v>
      </c>
      <c r="AK134" s="118">
        <v>10</v>
      </c>
      <c r="AL134" s="119" t="s">
        <v>120</v>
      </c>
      <c r="AM134" s="119" t="s">
        <v>119</v>
      </c>
      <c r="AN134" s="119" t="s">
        <v>121</v>
      </c>
      <c r="AO134" s="119" t="s">
        <v>115</v>
      </c>
      <c r="AP134" s="119" t="s">
        <v>122</v>
      </c>
      <c r="AQ134" s="119" t="s">
        <v>118</v>
      </c>
      <c r="AR134" s="119" t="s">
        <v>124</v>
      </c>
      <c r="AS134" s="119" t="s">
        <v>123</v>
      </c>
      <c r="AT134" s="8"/>
      <c r="AU134" s="8">
        <f t="shared" si="6"/>
        <v>128</v>
      </c>
      <c r="AV134" s="8">
        <f t="shared" si="7"/>
        <v>64</v>
      </c>
      <c r="AW134" s="8">
        <f t="shared" si="8"/>
        <v>256</v>
      </c>
      <c r="AX134" s="8">
        <f t="shared" si="9"/>
        <v>4</v>
      </c>
      <c r="AY134" s="8">
        <f t="shared" si="10"/>
        <v>512</v>
      </c>
      <c r="AZ134" s="8">
        <f t="shared" si="11"/>
        <v>32</v>
      </c>
      <c r="BA134" s="8">
        <f t="shared" si="12"/>
        <v>2048</v>
      </c>
      <c r="BB134" s="8">
        <f t="shared" si="13"/>
        <v>1024</v>
      </c>
      <c r="BC134" s="8">
        <f t="shared" si="14"/>
        <v>4068</v>
      </c>
      <c r="BD134" s="8"/>
      <c r="BE134" s="8"/>
      <c r="BF134" s="8"/>
      <c r="BG134" s="8"/>
      <c r="BH134" s="8"/>
    </row>
    <row r="135" spans="2:60">
      <c r="B135" s="11"/>
      <c r="C135" s="12"/>
      <c r="D135" s="8"/>
      <c r="E135" s="13"/>
      <c r="F135" s="14"/>
      <c r="G135" s="13"/>
      <c r="H135" s="15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2">
        <v>4052</v>
      </c>
      <c r="AK135" s="118">
        <v>11</v>
      </c>
      <c r="AL135" s="119" t="s">
        <v>117</v>
      </c>
      <c r="AM135" s="119" t="s">
        <v>122</v>
      </c>
      <c r="AN135" s="119" t="s">
        <v>121</v>
      </c>
      <c r="AO135" s="119" t="s">
        <v>115</v>
      </c>
      <c r="AP135" s="119" t="s">
        <v>120</v>
      </c>
      <c r="AQ135" s="119" t="s">
        <v>119</v>
      </c>
      <c r="AR135" s="119" t="s">
        <v>124</v>
      </c>
      <c r="AS135" s="119" t="s">
        <v>123</v>
      </c>
      <c r="AT135" s="8"/>
      <c r="AU135" s="8">
        <f t="shared" si="6"/>
        <v>16</v>
      </c>
      <c r="AV135" s="8">
        <f t="shared" si="7"/>
        <v>512</v>
      </c>
      <c r="AW135" s="8">
        <f t="shared" si="8"/>
        <v>256</v>
      </c>
      <c r="AX135" s="8">
        <f t="shared" si="9"/>
        <v>4</v>
      </c>
      <c r="AY135" s="8">
        <f t="shared" si="10"/>
        <v>128</v>
      </c>
      <c r="AZ135" s="8">
        <f t="shared" si="11"/>
        <v>64</v>
      </c>
      <c r="BA135" s="8">
        <f t="shared" si="12"/>
        <v>2048</v>
      </c>
      <c r="BB135" s="8">
        <f t="shared" si="13"/>
        <v>1024</v>
      </c>
      <c r="BC135" s="8">
        <f t="shared" si="14"/>
        <v>4052</v>
      </c>
      <c r="BD135" s="8"/>
      <c r="BE135" s="8"/>
      <c r="BF135" s="8"/>
      <c r="BG135" s="8"/>
      <c r="BH135" s="8"/>
    </row>
    <row r="136" spans="2:60">
      <c r="B136" s="11"/>
      <c r="C136" s="12"/>
      <c r="D136" s="8"/>
      <c r="E136" s="13"/>
      <c r="F136" s="14"/>
      <c r="G136" s="13"/>
      <c r="H136" s="15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2">
        <v>4020</v>
      </c>
      <c r="AK136" s="118">
        <v>12</v>
      </c>
      <c r="AL136" s="119" t="s">
        <v>117</v>
      </c>
      <c r="AM136" s="119" t="s">
        <v>122</v>
      </c>
      <c r="AN136" s="119" t="s">
        <v>121</v>
      </c>
      <c r="AO136" s="119" t="s">
        <v>115</v>
      </c>
      <c r="AP136" s="119" t="s">
        <v>120</v>
      </c>
      <c r="AQ136" s="119" t="s">
        <v>118</v>
      </c>
      <c r="AR136" s="119" t="s">
        <v>124</v>
      </c>
      <c r="AS136" s="119" t="s">
        <v>123</v>
      </c>
      <c r="AT136" s="8"/>
      <c r="AU136" s="8">
        <f t="shared" si="6"/>
        <v>16</v>
      </c>
      <c r="AV136" s="8">
        <f t="shared" si="7"/>
        <v>512</v>
      </c>
      <c r="AW136" s="8">
        <f t="shared" si="8"/>
        <v>256</v>
      </c>
      <c r="AX136" s="8">
        <f t="shared" si="9"/>
        <v>4</v>
      </c>
      <c r="AY136" s="8">
        <f t="shared" si="10"/>
        <v>128</v>
      </c>
      <c r="AZ136" s="8">
        <f t="shared" si="11"/>
        <v>32</v>
      </c>
      <c r="BA136" s="8">
        <f t="shared" si="12"/>
        <v>2048</v>
      </c>
      <c r="BB136" s="8">
        <f t="shared" si="13"/>
        <v>1024</v>
      </c>
      <c r="BC136" s="8">
        <f t="shared" si="14"/>
        <v>4020</v>
      </c>
      <c r="BD136" s="8"/>
      <c r="BE136" s="8"/>
      <c r="BF136" s="8"/>
      <c r="BG136" s="8"/>
      <c r="BH136" s="8"/>
    </row>
    <row r="137" spans="2:60">
      <c r="B137" s="11"/>
      <c r="C137" s="12"/>
      <c r="D137" s="8"/>
      <c r="E137" s="13"/>
      <c r="F137" s="14"/>
      <c r="G137" s="13"/>
      <c r="H137" s="15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2">
        <v>3956</v>
      </c>
      <c r="AK137" s="118">
        <v>13</v>
      </c>
      <c r="AL137" s="119" t="s">
        <v>117</v>
      </c>
      <c r="AM137" s="119" t="s">
        <v>119</v>
      </c>
      <c r="AN137" s="119" t="s">
        <v>121</v>
      </c>
      <c r="AO137" s="119" t="s">
        <v>115</v>
      </c>
      <c r="AP137" s="119" t="s">
        <v>122</v>
      </c>
      <c r="AQ137" s="119" t="s">
        <v>118</v>
      </c>
      <c r="AR137" s="119" t="s">
        <v>124</v>
      </c>
      <c r="AS137" s="119" t="s">
        <v>123</v>
      </c>
      <c r="AT137" s="8"/>
      <c r="AU137" s="8">
        <f t="shared" si="6"/>
        <v>16</v>
      </c>
      <c r="AV137" s="8">
        <f t="shared" si="7"/>
        <v>64</v>
      </c>
      <c r="AW137" s="8">
        <f t="shared" si="8"/>
        <v>256</v>
      </c>
      <c r="AX137" s="8">
        <f t="shared" si="9"/>
        <v>4</v>
      </c>
      <c r="AY137" s="8">
        <f t="shared" si="10"/>
        <v>512</v>
      </c>
      <c r="AZ137" s="8">
        <f t="shared" si="11"/>
        <v>32</v>
      </c>
      <c r="BA137" s="8">
        <f t="shared" si="12"/>
        <v>2048</v>
      </c>
      <c r="BB137" s="8">
        <f t="shared" si="13"/>
        <v>1024</v>
      </c>
      <c r="BC137" s="8">
        <f t="shared" si="14"/>
        <v>3956</v>
      </c>
      <c r="BD137" s="8"/>
      <c r="BE137" s="8"/>
      <c r="BF137" s="8"/>
      <c r="BG137" s="8"/>
      <c r="BH137" s="8"/>
    </row>
    <row r="138" spans="2:60">
      <c r="B138" s="11"/>
      <c r="C138" s="12"/>
      <c r="D138" s="8"/>
      <c r="E138" s="13"/>
      <c r="F138" s="14"/>
      <c r="G138" s="13"/>
      <c r="H138" s="1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2">
        <v>3828</v>
      </c>
      <c r="AK138" s="118">
        <v>14</v>
      </c>
      <c r="AL138" s="119" t="s">
        <v>117</v>
      </c>
      <c r="AM138" s="119" t="s">
        <v>119</v>
      </c>
      <c r="AN138" s="119" t="s">
        <v>122</v>
      </c>
      <c r="AO138" s="119" t="s">
        <v>115</v>
      </c>
      <c r="AP138" s="119" t="s">
        <v>120</v>
      </c>
      <c r="AQ138" s="119" t="s">
        <v>118</v>
      </c>
      <c r="AR138" s="119" t="s">
        <v>124</v>
      </c>
      <c r="AS138" s="119" t="s">
        <v>123</v>
      </c>
      <c r="AT138" s="8"/>
      <c r="AU138" s="8">
        <f t="shared" si="6"/>
        <v>16</v>
      </c>
      <c r="AV138" s="8">
        <f t="shared" si="7"/>
        <v>64</v>
      </c>
      <c r="AW138" s="8">
        <f t="shared" si="8"/>
        <v>512</v>
      </c>
      <c r="AX138" s="8">
        <f t="shared" si="9"/>
        <v>4</v>
      </c>
      <c r="AY138" s="8">
        <f t="shared" si="10"/>
        <v>128</v>
      </c>
      <c r="AZ138" s="8">
        <f t="shared" si="11"/>
        <v>32</v>
      </c>
      <c r="BA138" s="8">
        <f t="shared" si="12"/>
        <v>2048</v>
      </c>
      <c r="BB138" s="8">
        <f t="shared" si="13"/>
        <v>1024</v>
      </c>
      <c r="BC138" s="8">
        <f t="shared" si="14"/>
        <v>3828</v>
      </c>
      <c r="BD138" s="8"/>
      <c r="BE138" s="8"/>
      <c r="BF138" s="8"/>
      <c r="BG138" s="8"/>
      <c r="BH138" s="8"/>
    </row>
    <row r="139" spans="2:60">
      <c r="B139" s="11"/>
      <c r="C139" s="12"/>
      <c r="D139" s="8"/>
      <c r="E139" s="13"/>
      <c r="F139" s="14"/>
      <c r="G139" s="13"/>
      <c r="H139" s="1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2">
        <v>3572</v>
      </c>
      <c r="AK139" s="118">
        <v>15</v>
      </c>
      <c r="AL139" s="119" t="s">
        <v>117</v>
      </c>
      <c r="AM139" s="119" t="s">
        <v>119</v>
      </c>
      <c r="AN139" s="119" t="s">
        <v>121</v>
      </c>
      <c r="AO139" s="119" t="s">
        <v>115</v>
      </c>
      <c r="AP139" s="119" t="s">
        <v>120</v>
      </c>
      <c r="AQ139" s="119" t="s">
        <v>118</v>
      </c>
      <c r="AR139" s="119" t="s">
        <v>124</v>
      </c>
      <c r="AS139" s="119" t="s">
        <v>123</v>
      </c>
      <c r="AT139" s="8"/>
      <c r="AU139" s="8">
        <f t="shared" si="6"/>
        <v>16</v>
      </c>
      <c r="AV139" s="8">
        <f t="shared" si="7"/>
        <v>64</v>
      </c>
      <c r="AW139" s="8">
        <f t="shared" si="8"/>
        <v>256</v>
      </c>
      <c r="AX139" s="8">
        <f t="shared" si="9"/>
        <v>4</v>
      </c>
      <c r="AY139" s="8">
        <f t="shared" si="10"/>
        <v>128</v>
      </c>
      <c r="AZ139" s="8">
        <f t="shared" si="11"/>
        <v>32</v>
      </c>
      <c r="BA139" s="8">
        <f t="shared" si="12"/>
        <v>2048</v>
      </c>
      <c r="BB139" s="8">
        <f t="shared" si="13"/>
        <v>1024</v>
      </c>
      <c r="BC139" s="8">
        <f t="shared" si="14"/>
        <v>3572</v>
      </c>
      <c r="BD139" s="8"/>
      <c r="BE139" s="8"/>
      <c r="BF139" s="8"/>
      <c r="BG139" s="8"/>
      <c r="BH139" s="8"/>
    </row>
    <row r="140" spans="2:60">
      <c r="B140" s="11"/>
      <c r="C140" s="12"/>
      <c r="D140" s="8"/>
      <c r="E140" s="13"/>
      <c r="F140" s="14"/>
      <c r="G140" s="13"/>
      <c r="H140" s="15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2">
        <v>3060</v>
      </c>
      <c r="AK140" s="118">
        <v>16</v>
      </c>
      <c r="AL140" s="119" t="s">
        <v>117</v>
      </c>
      <c r="AM140" s="119" t="s">
        <v>119</v>
      </c>
      <c r="AN140" s="119" t="s">
        <v>122</v>
      </c>
      <c r="AO140" s="119" t="s">
        <v>115</v>
      </c>
      <c r="AP140" s="119" t="s">
        <v>120</v>
      </c>
      <c r="AQ140" s="119" t="s">
        <v>118</v>
      </c>
      <c r="AR140" s="119" t="s">
        <v>124</v>
      </c>
      <c r="AS140" s="119" t="s">
        <v>121</v>
      </c>
      <c r="AT140" s="8"/>
      <c r="AU140" s="8">
        <f t="shared" si="6"/>
        <v>16</v>
      </c>
      <c r="AV140" s="8">
        <f t="shared" si="7"/>
        <v>64</v>
      </c>
      <c r="AW140" s="8">
        <f t="shared" si="8"/>
        <v>512</v>
      </c>
      <c r="AX140" s="8">
        <f t="shared" si="9"/>
        <v>4</v>
      </c>
      <c r="AY140" s="8">
        <f t="shared" si="10"/>
        <v>128</v>
      </c>
      <c r="AZ140" s="8">
        <f t="shared" si="11"/>
        <v>32</v>
      </c>
      <c r="BA140" s="8">
        <f t="shared" si="12"/>
        <v>2048</v>
      </c>
      <c r="BB140" s="8">
        <f t="shared" si="13"/>
        <v>256</v>
      </c>
      <c r="BC140" s="8">
        <f t="shared" si="14"/>
        <v>3060</v>
      </c>
      <c r="BD140" s="8"/>
      <c r="BE140" s="8"/>
      <c r="BF140" s="8"/>
      <c r="BG140" s="8"/>
      <c r="BH140" s="8"/>
    </row>
    <row r="141" spans="2:60">
      <c r="B141" s="11"/>
      <c r="C141" s="12"/>
      <c r="D141" s="8"/>
      <c r="E141" s="13"/>
      <c r="F141" s="14"/>
      <c r="G141" s="13"/>
      <c r="H141" s="15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2">
        <v>2036</v>
      </c>
      <c r="AK141" s="118">
        <v>17</v>
      </c>
      <c r="AL141" s="119" t="s">
        <v>117</v>
      </c>
      <c r="AM141" s="119" t="s">
        <v>119</v>
      </c>
      <c r="AN141" s="119" t="s">
        <v>122</v>
      </c>
      <c r="AO141" s="119" t="s">
        <v>115</v>
      </c>
      <c r="AP141" s="119" t="s">
        <v>120</v>
      </c>
      <c r="AQ141" s="119" t="s">
        <v>118</v>
      </c>
      <c r="AR141" s="119" t="s">
        <v>121</v>
      </c>
      <c r="AS141" s="119" t="s">
        <v>123</v>
      </c>
      <c r="AT141" s="8"/>
      <c r="AU141" s="8">
        <f t="shared" si="6"/>
        <v>16</v>
      </c>
      <c r="AV141" s="8">
        <f t="shared" si="7"/>
        <v>64</v>
      </c>
      <c r="AW141" s="8">
        <f t="shared" si="8"/>
        <v>512</v>
      </c>
      <c r="AX141" s="8">
        <f t="shared" si="9"/>
        <v>4</v>
      </c>
      <c r="AY141" s="8">
        <f t="shared" si="10"/>
        <v>128</v>
      </c>
      <c r="AZ141" s="8">
        <f t="shared" si="11"/>
        <v>32</v>
      </c>
      <c r="BA141" s="8">
        <f t="shared" si="12"/>
        <v>256</v>
      </c>
      <c r="BB141" s="8">
        <f t="shared" si="13"/>
        <v>1024</v>
      </c>
      <c r="BC141" s="8">
        <f t="shared" si="14"/>
        <v>2036</v>
      </c>
      <c r="BD141" s="8"/>
      <c r="BE141" s="8"/>
      <c r="BF141" s="8"/>
      <c r="BG141" s="8"/>
      <c r="BH141" s="8"/>
    </row>
    <row r="142" spans="2:60">
      <c r="B142" s="11"/>
      <c r="C142" s="12"/>
      <c r="D142" s="8"/>
      <c r="E142" s="13"/>
      <c r="F142" s="14"/>
      <c r="G142" s="13"/>
      <c r="H142" s="1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2">
        <v>4044</v>
      </c>
      <c r="AK142" s="118">
        <v>18</v>
      </c>
      <c r="AL142" s="119" t="s">
        <v>120</v>
      </c>
      <c r="AM142" s="119" t="s">
        <v>119</v>
      </c>
      <c r="AN142" s="119" t="s">
        <v>121</v>
      </c>
      <c r="AO142" s="119" t="s">
        <v>115</v>
      </c>
      <c r="AP142" s="119" t="s">
        <v>122</v>
      </c>
      <c r="AQ142" s="119" t="s">
        <v>116</v>
      </c>
      <c r="AR142" s="119" t="s">
        <v>124</v>
      </c>
      <c r="AS142" s="119" t="s">
        <v>123</v>
      </c>
      <c r="AT142" s="8"/>
      <c r="AU142" s="8">
        <f t="shared" si="6"/>
        <v>128</v>
      </c>
      <c r="AV142" s="8">
        <f t="shared" si="7"/>
        <v>64</v>
      </c>
      <c r="AW142" s="8">
        <f t="shared" si="8"/>
        <v>256</v>
      </c>
      <c r="AX142" s="8">
        <f t="shared" si="9"/>
        <v>4</v>
      </c>
      <c r="AY142" s="8">
        <f t="shared" si="10"/>
        <v>512</v>
      </c>
      <c r="AZ142" s="8">
        <f t="shared" si="11"/>
        <v>8</v>
      </c>
      <c r="BA142" s="8">
        <f t="shared" si="12"/>
        <v>2048</v>
      </c>
      <c r="BB142" s="8">
        <f t="shared" si="13"/>
        <v>1024</v>
      </c>
      <c r="BC142" s="8">
        <f t="shared" si="14"/>
        <v>4044</v>
      </c>
      <c r="BD142" s="8"/>
      <c r="BE142" s="8"/>
      <c r="BF142" s="8"/>
      <c r="BG142" s="8"/>
      <c r="BH142" s="8"/>
    </row>
    <row r="143" spans="2:60">
      <c r="B143" s="11"/>
      <c r="C143" s="12"/>
      <c r="D143" s="8"/>
      <c r="E143" s="13"/>
      <c r="F143" s="14"/>
      <c r="G143" s="13"/>
      <c r="H143" s="1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2">
        <v>4012</v>
      </c>
      <c r="AK143" s="118">
        <v>19</v>
      </c>
      <c r="AL143" s="119" t="s">
        <v>115</v>
      </c>
      <c r="AM143" s="119" t="s">
        <v>122</v>
      </c>
      <c r="AN143" s="119" t="s">
        <v>121</v>
      </c>
      <c r="AO143" s="119" t="s">
        <v>116</v>
      </c>
      <c r="AP143" s="119" t="s">
        <v>120</v>
      </c>
      <c r="AQ143" s="119" t="s">
        <v>118</v>
      </c>
      <c r="AR143" s="119" t="s">
        <v>124</v>
      </c>
      <c r="AS143" s="119" t="s">
        <v>123</v>
      </c>
      <c r="AT143" s="8"/>
      <c r="AU143" s="8">
        <f t="shared" si="6"/>
        <v>4</v>
      </c>
      <c r="AV143" s="8">
        <f t="shared" si="7"/>
        <v>512</v>
      </c>
      <c r="AW143" s="8">
        <f t="shared" si="8"/>
        <v>256</v>
      </c>
      <c r="AX143" s="8">
        <f t="shared" si="9"/>
        <v>8</v>
      </c>
      <c r="AY143" s="8">
        <f t="shared" si="10"/>
        <v>128</v>
      </c>
      <c r="AZ143" s="8">
        <f t="shared" si="11"/>
        <v>32</v>
      </c>
      <c r="BA143" s="8">
        <f t="shared" si="12"/>
        <v>2048</v>
      </c>
      <c r="BB143" s="8">
        <f t="shared" si="13"/>
        <v>1024</v>
      </c>
      <c r="BC143" s="8">
        <f t="shared" si="14"/>
        <v>4012</v>
      </c>
      <c r="BD143" s="8"/>
      <c r="BE143" s="8"/>
      <c r="BF143" s="8"/>
      <c r="BG143" s="8"/>
      <c r="BH143" s="8"/>
    </row>
    <row r="144" spans="2:60">
      <c r="B144" s="11"/>
      <c r="C144" s="12"/>
      <c r="D144" s="8"/>
      <c r="E144" s="13"/>
      <c r="F144" s="14"/>
      <c r="G144" s="13"/>
      <c r="H144" s="1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2">
        <v>3948</v>
      </c>
      <c r="AK144" s="118">
        <v>20</v>
      </c>
      <c r="AL144" s="119" t="s">
        <v>115</v>
      </c>
      <c r="AM144" s="119" t="s">
        <v>119</v>
      </c>
      <c r="AN144" s="119" t="s">
        <v>121</v>
      </c>
      <c r="AO144" s="119" t="s">
        <v>116</v>
      </c>
      <c r="AP144" s="119" t="s">
        <v>122</v>
      </c>
      <c r="AQ144" s="119" t="s">
        <v>118</v>
      </c>
      <c r="AR144" s="119" t="s">
        <v>124</v>
      </c>
      <c r="AS144" s="119" t="s">
        <v>123</v>
      </c>
      <c r="AT144" s="8"/>
      <c r="AU144" s="8">
        <f t="shared" si="6"/>
        <v>4</v>
      </c>
      <c r="AV144" s="8">
        <f t="shared" si="7"/>
        <v>64</v>
      </c>
      <c r="AW144" s="8">
        <f t="shared" si="8"/>
        <v>256</v>
      </c>
      <c r="AX144" s="8">
        <f t="shared" si="9"/>
        <v>8</v>
      </c>
      <c r="AY144" s="8">
        <f t="shared" si="10"/>
        <v>512</v>
      </c>
      <c r="AZ144" s="8">
        <f t="shared" si="11"/>
        <v>32</v>
      </c>
      <c r="BA144" s="8">
        <f t="shared" si="12"/>
        <v>2048</v>
      </c>
      <c r="BB144" s="8">
        <f t="shared" si="13"/>
        <v>1024</v>
      </c>
      <c r="BC144" s="8">
        <f t="shared" si="14"/>
        <v>3948</v>
      </c>
      <c r="BD144" s="8"/>
      <c r="BE144" s="8"/>
      <c r="BF144" s="8"/>
      <c r="BG144" s="8"/>
      <c r="BH144" s="8"/>
    </row>
    <row r="145" spans="2:60">
      <c r="B145" s="11"/>
      <c r="C145" s="12"/>
      <c r="D145" s="8"/>
      <c r="E145" s="13"/>
      <c r="F145" s="14"/>
      <c r="G145" s="13"/>
      <c r="H145" s="15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2">
        <v>3820</v>
      </c>
      <c r="AK145" s="118">
        <v>21</v>
      </c>
      <c r="AL145" s="119" t="s">
        <v>115</v>
      </c>
      <c r="AM145" s="119" t="s">
        <v>119</v>
      </c>
      <c r="AN145" s="119" t="s">
        <v>122</v>
      </c>
      <c r="AO145" s="119" t="s">
        <v>116</v>
      </c>
      <c r="AP145" s="119" t="s">
        <v>120</v>
      </c>
      <c r="AQ145" s="119" t="s">
        <v>118</v>
      </c>
      <c r="AR145" s="119" t="s">
        <v>124</v>
      </c>
      <c r="AS145" s="119" t="s">
        <v>123</v>
      </c>
      <c r="AT145" s="8"/>
      <c r="AU145" s="8">
        <f t="shared" si="6"/>
        <v>4</v>
      </c>
      <c r="AV145" s="8">
        <f t="shared" si="7"/>
        <v>64</v>
      </c>
      <c r="AW145" s="8">
        <f t="shared" si="8"/>
        <v>512</v>
      </c>
      <c r="AX145" s="8">
        <f t="shared" si="9"/>
        <v>8</v>
      </c>
      <c r="AY145" s="8">
        <f t="shared" si="10"/>
        <v>128</v>
      </c>
      <c r="AZ145" s="8">
        <f t="shared" si="11"/>
        <v>32</v>
      </c>
      <c r="BA145" s="8">
        <f t="shared" si="12"/>
        <v>2048</v>
      </c>
      <c r="BB145" s="8">
        <f t="shared" si="13"/>
        <v>1024</v>
      </c>
      <c r="BC145" s="8">
        <f t="shared" si="14"/>
        <v>3820</v>
      </c>
      <c r="BD145" s="8"/>
      <c r="BE145" s="8"/>
      <c r="BF145" s="8"/>
      <c r="BG145" s="8"/>
      <c r="BH145" s="8"/>
    </row>
    <row r="146" spans="2:60">
      <c r="B146" s="11"/>
      <c r="C146" s="12"/>
      <c r="D146" s="8"/>
      <c r="E146" s="13"/>
      <c r="F146" s="14"/>
      <c r="G146" s="13"/>
      <c r="H146" s="1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2">
        <v>3564</v>
      </c>
      <c r="AK146" s="118">
        <v>22</v>
      </c>
      <c r="AL146" s="119" t="s">
        <v>115</v>
      </c>
      <c r="AM146" s="119" t="s">
        <v>119</v>
      </c>
      <c r="AN146" s="119" t="s">
        <v>121</v>
      </c>
      <c r="AO146" s="119" t="s">
        <v>116</v>
      </c>
      <c r="AP146" s="119" t="s">
        <v>120</v>
      </c>
      <c r="AQ146" s="119" t="s">
        <v>118</v>
      </c>
      <c r="AR146" s="119" t="s">
        <v>124</v>
      </c>
      <c r="AS146" s="119" t="s">
        <v>123</v>
      </c>
      <c r="AT146" s="8"/>
      <c r="AU146" s="8">
        <f t="shared" si="6"/>
        <v>4</v>
      </c>
      <c r="AV146" s="8">
        <f t="shared" si="7"/>
        <v>64</v>
      </c>
      <c r="AW146" s="8">
        <f t="shared" si="8"/>
        <v>256</v>
      </c>
      <c r="AX146" s="8">
        <f t="shared" si="9"/>
        <v>8</v>
      </c>
      <c r="AY146" s="8">
        <f t="shared" si="10"/>
        <v>128</v>
      </c>
      <c r="AZ146" s="8">
        <f t="shared" si="11"/>
        <v>32</v>
      </c>
      <c r="BA146" s="8">
        <f t="shared" si="12"/>
        <v>2048</v>
      </c>
      <c r="BB146" s="8">
        <f t="shared" si="13"/>
        <v>1024</v>
      </c>
      <c r="BC146" s="8">
        <f t="shared" si="14"/>
        <v>3564</v>
      </c>
      <c r="BD146" s="8"/>
      <c r="BE146" s="8"/>
      <c r="BF146" s="8"/>
      <c r="BG146" s="8"/>
      <c r="BH146" s="8"/>
    </row>
    <row r="147" spans="2:60">
      <c r="B147" s="11"/>
      <c r="C147" s="12"/>
      <c r="D147" s="8"/>
      <c r="E147" s="13"/>
      <c r="F147" s="14"/>
      <c r="G147" s="13"/>
      <c r="H147" s="1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2">
        <v>3052</v>
      </c>
      <c r="AK147" s="118">
        <v>23</v>
      </c>
      <c r="AL147" s="119" t="s">
        <v>115</v>
      </c>
      <c r="AM147" s="119" t="s">
        <v>119</v>
      </c>
      <c r="AN147" s="119" t="s">
        <v>122</v>
      </c>
      <c r="AO147" s="119" t="s">
        <v>116</v>
      </c>
      <c r="AP147" s="119" t="s">
        <v>120</v>
      </c>
      <c r="AQ147" s="119" t="s">
        <v>118</v>
      </c>
      <c r="AR147" s="119" t="s">
        <v>124</v>
      </c>
      <c r="AS147" s="119" t="s">
        <v>121</v>
      </c>
      <c r="AT147" s="8"/>
      <c r="AU147" s="8">
        <f t="shared" si="6"/>
        <v>4</v>
      </c>
      <c r="AV147" s="8">
        <f t="shared" si="7"/>
        <v>64</v>
      </c>
      <c r="AW147" s="8">
        <f t="shared" si="8"/>
        <v>512</v>
      </c>
      <c r="AX147" s="8">
        <f t="shared" si="9"/>
        <v>8</v>
      </c>
      <c r="AY147" s="8">
        <f t="shared" si="10"/>
        <v>128</v>
      </c>
      <c r="AZ147" s="8">
        <f t="shared" si="11"/>
        <v>32</v>
      </c>
      <c r="BA147" s="8">
        <f t="shared" si="12"/>
        <v>2048</v>
      </c>
      <c r="BB147" s="8">
        <f t="shared" si="13"/>
        <v>256</v>
      </c>
      <c r="BC147" s="8">
        <f t="shared" si="14"/>
        <v>3052</v>
      </c>
      <c r="BD147" s="8"/>
      <c r="BE147" s="8"/>
      <c r="BF147" s="8"/>
      <c r="BG147" s="8"/>
      <c r="BH147" s="8"/>
    </row>
    <row r="148" spans="2:60">
      <c r="B148" s="11"/>
      <c r="C148" s="12"/>
      <c r="D148" s="8"/>
      <c r="E148" s="13"/>
      <c r="F148" s="14"/>
      <c r="G148" s="13"/>
      <c r="H148" s="15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2">
        <v>2028</v>
      </c>
      <c r="AK148" s="118">
        <v>24</v>
      </c>
      <c r="AL148" s="119" t="s">
        <v>115</v>
      </c>
      <c r="AM148" s="119" t="s">
        <v>119</v>
      </c>
      <c r="AN148" s="119" t="s">
        <v>122</v>
      </c>
      <c r="AO148" s="119" t="s">
        <v>116</v>
      </c>
      <c r="AP148" s="119" t="s">
        <v>120</v>
      </c>
      <c r="AQ148" s="119" t="s">
        <v>118</v>
      </c>
      <c r="AR148" s="119" t="s">
        <v>121</v>
      </c>
      <c r="AS148" s="119" t="s">
        <v>123</v>
      </c>
      <c r="AT148" s="8"/>
      <c r="AU148" s="8">
        <f t="shared" si="6"/>
        <v>4</v>
      </c>
      <c r="AV148" s="8">
        <f t="shared" si="7"/>
        <v>64</v>
      </c>
      <c r="AW148" s="8">
        <f t="shared" si="8"/>
        <v>512</v>
      </c>
      <c r="AX148" s="8">
        <f t="shared" si="9"/>
        <v>8</v>
      </c>
      <c r="AY148" s="8">
        <f t="shared" si="10"/>
        <v>128</v>
      </c>
      <c r="AZ148" s="8">
        <f t="shared" si="11"/>
        <v>32</v>
      </c>
      <c r="BA148" s="8">
        <f t="shared" si="12"/>
        <v>256</v>
      </c>
      <c r="BB148" s="8">
        <f t="shared" si="13"/>
        <v>1024</v>
      </c>
      <c r="BC148" s="8">
        <f t="shared" si="14"/>
        <v>2028</v>
      </c>
      <c r="BD148" s="8"/>
      <c r="BE148" s="8"/>
      <c r="BF148" s="8"/>
      <c r="BG148" s="8"/>
      <c r="BH148" s="8"/>
    </row>
    <row r="149" spans="2:60">
      <c r="B149" s="11"/>
      <c r="C149" s="12"/>
      <c r="D149" s="8"/>
      <c r="E149" s="13"/>
      <c r="F149" s="14"/>
      <c r="G149" s="13"/>
      <c r="H149" s="15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2">
        <v>3996</v>
      </c>
      <c r="AK149" s="118">
        <v>25</v>
      </c>
      <c r="AL149" s="119" t="s">
        <v>117</v>
      </c>
      <c r="AM149" s="119" t="s">
        <v>122</v>
      </c>
      <c r="AN149" s="119" t="s">
        <v>121</v>
      </c>
      <c r="AO149" s="119" t="s">
        <v>115</v>
      </c>
      <c r="AP149" s="119" t="s">
        <v>120</v>
      </c>
      <c r="AQ149" s="119" t="s">
        <v>116</v>
      </c>
      <c r="AR149" s="119" t="s">
        <v>124</v>
      </c>
      <c r="AS149" s="119" t="s">
        <v>123</v>
      </c>
      <c r="AT149" s="8"/>
      <c r="AU149" s="8">
        <f t="shared" si="6"/>
        <v>16</v>
      </c>
      <c r="AV149" s="8">
        <f t="shared" si="7"/>
        <v>512</v>
      </c>
      <c r="AW149" s="8">
        <f t="shared" si="8"/>
        <v>256</v>
      </c>
      <c r="AX149" s="8">
        <f t="shared" si="9"/>
        <v>4</v>
      </c>
      <c r="AY149" s="8">
        <f t="shared" si="10"/>
        <v>128</v>
      </c>
      <c r="AZ149" s="8">
        <f t="shared" si="11"/>
        <v>8</v>
      </c>
      <c r="BA149" s="8">
        <f t="shared" si="12"/>
        <v>2048</v>
      </c>
      <c r="BB149" s="8">
        <f t="shared" si="13"/>
        <v>1024</v>
      </c>
      <c r="BC149" s="8">
        <f t="shared" si="14"/>
        <v>3996</v>
      </c>
      <c r="BD149" s="8"/>
      <c r="BE149" s="8"/>
      <c r="BF149" s="8"/>
      <c r="BG149" s="8"/>
      <c r="BH149" s="8"/>
    </row>
    <row r="150" spans="2:60">
      <c r="B150" s="11"/>
      <c r="C150" s="12"/>
      <c r="D150" s="8"/>
      <c r="E150" s="13"/>
      <c r="F150" s="14"/>
      <c r="G150" s="13"/>
      <c r="H150" s="15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2">
        <v>3932</v>
      </c>
      <c r="AK150" s="118">
        <v>26</v>
      </c>
      <c r="AL150" s="119" t="s">
        <v>117</v>
      </c>
      <c r="AM150" s="119" t="s">
        <v>119</v>
      </c>
      <c r="AN150" s="119" t="s">
        <v>121</v>
      </c>
      <c r="AO150" s="119" t="s">
        <v>115</v>
      </c>
      <c r="AP150" s="119" t="s">
        <v>122</v>
      </c>
      <c r="AQ150" s="119" t="s">
        <v>116</v>
      </c>
      <c r="AR150" s="119" t="s">
        <v>124</v>
      </c>
      <c r="AS150" s="119" t="s">
        <v>123</v>
      </c>
      <c r="AT150" s="8"/>
      <c r="AU150" s="8">
        <f t="shared" si="6"/>
        <v>16</v>
      </c>
      <c r="AV150" s="8">
        <f t="shared" si="7"/>
        <v>64</v>
      </c>
      <c r="AW150" s="8">
        <f t="shared" si="8"/>
        <v>256</v>
      </c>
      <c r="AX150" s="8">
        <f t="shared" si="9"/>
        <v>4</v>
      </c>
      <c r="AY150" s="8">
        <f t="shared" si="10"/>
        <v>512</v>
      </c>
      <c r="AZ150" s="8">
        <f t="shared" si="11"/>
        <v>8</v>
      </c>
      <c r="BA150" s="8">
        <f t="shared" si="12"/>
        <v>2048</v>
      </c>
      <c r="BB150" s="8">
        <f t="shared" si="13"/>
        <v>1024</v>
      </c>
      <c r="BC150" s="8">
        <f t="shared" si="14"/>
        <v>3932</v>
      </c>
      <c r="BD150" s="8"/>
      <c r="BE150" s="8"/>
      <c r="BF150" s="8"/>
      <c r="BG150" s="8"/>
      <c r="BH150" s="8"/>
    </row>
    <row r="151" spans="2:60">
      <c r="B151" s="11"/>
      <c r="C151" s="12"/>
      <c r="D151" s="8"/>
      <c r="E151" s="13"/>
      <c r="F151" s="14"/>
      <c r="G151" s="13"/>
      <c r="H151" s="15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2">
        <v>3804</v>
      </c>
      <c r="AK151" s="118">
        <v>27</v>
      </c>
      <c r="AL151" s="119" t="s">
        <v>117</v>
      </c>
      <c r="AM151" s="119" t="s">
        <v>119</v>
      </c>
      <c r="AN151" s="119" t="s">
        <v>122</v>
      </c>
      <c r="AO151" s="119" t="s">
        <v>115</v>
      </c>
      <c r="AP151" s="119" t="s">
        <v>120</v>
      </c>
      <c r="AQ151" s="119" t="s">
        <v>116</v>
      </c>
      <c r="AR151" s="119" t="s">
        <v>124</v>
      </c>
      <c r="AS151" s="119" t="s">
        <v>123</v>
      </c>
      <c r="AT151" s="8"/>
      <c r="AU151" s="8">
        <f t="shared" si="6"/>
        <v>16</v>
      </c>
      <c r="AV151" s="8">
        <f t="shared" si="7"/>
        <v>64</v>
      </c>
      <c r="AW151" s="8">
        <f t="shared" si="8"/>
        <v>512</v>
      </c>
      <c r="AX151" s="8">
        <f t="shared" si="9"/>
        <v>4</v>
      </c>
      <c r="AY151" s="8">
        <f t="shared" si="10"/>
        <v>128</v>
      </c>
      <c r="AZ151" s="8">
        <f t="shared" si="11"/>
        <v>8</v>
      </c>
      <c r="BA151" s="8">
        <f t="shared" si="12"/>
        <v>2048</v>
      </c>
      <c r="BB151" s="8">
        <f t="shared" si="13"/>
        <v>1024</v>
      </c>
      <c r="BC151" s="8">
        <f t="shared" si="14"/>
        <v>3804</v>
      </c>
      <c r="BD151" s="8"/>
      <c r="BE151" s="8"/>
      <c r="BF151" s="8"/>
      <c r="BG151" s="8"/>
      <c r="BH151" s="8"/>
    </row>
    <row r="152" spans="2:60">
      <c r="B152" s="11"/>
      <c r="C152" s="12"/>
      <c r="D152" s="8"/>
      <c r="E152" s="13"/>
      <c r="F152" s="14"/>
      <c r="G152" s="13"/>
      <c r="H152" s="15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2">
        <v>3548</v>
      </c>
      <c r="AK152" s="118">
        <v>28</v>
      </c>
      <c r="AL152" s="119" t="s">
        <v>117</v>
      </c>
      <c r="AM152" s="119" t="s">
        <v>119</v>
      </c>
      <c r="AN152" s="119" t="s">
        <v>121</v>
      </c>
      <c r="AO152" s="119" t="s">
        <v>115</v>
      </c>
      <c r="AP152" s="119" t="s">
        <v>120</v>
      </c>
      <c r="AQ152" s="119" t="s">
        <v>116</v>
      </c>
      <c r="AR152" s="119" t="s">
        <v>124</v>
      </c>
      <c r="AS152" s="119" t="s">
        <v>123</v>
      </c>
      <c r="AT152" s="8"/>
      <c r="AU152" s="8">
        <f t="shared" si="6"/>
        <v>16</v>
      </c>
      <c r="AV152" s="8">
        <f t="shared" si="7"/>
        <v>64</v>
      </c>
      <c r="AW152" s="8">
        <f t="shared" si="8"/>
        <v>256</v>
      </c>
      <c r="AX152" s="8">
        <f t="shared" si="9"/>
        <v>4</v>
      </c>
      <c r="AY152" s="8">
        <f t="shared" si="10"/>
        <v>128</v>
      </c>
      <c r="AZ152" s="8">
        <f t="shared" si="11"/>
        <v>8</v>
      </c>
      <c r="BA152" s="8">
        <f t="shared" si="12"/>
        <v>2048</v>
      </c>
      <c r="BB152" s="8">
        <f t="shared" si="13"/>
        <v>1024</v>
      </c>
      <c r="BC152" s="8">
        <f t="shared" si="14"/>
        <v>3548</v>
      </c>
      <c r="BD152" s="8"/>
      <c r="BE152" s="8"/>
      <c r="BF152" s="8"/>
      <c r="BG152" s="8"/>
      <c r="BH152" s="8"/>
    </row>
    <row r="153" spans="2:60">
      <c r="B153" s="11"/>
      <c r="C153" s="12"/>
      <c r="D153" s="8"/>
      <c r="E153" s="13"/>
      <c r="F153" s="14"/>
      <c r="G153" s="13"/>
      <c r="H153" s="15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2">
        <v>3036</v>
      </c>
      <c r="AK153" s="118">
        <v>29</v>
      </c>
      <c r="AL153" s="119" t="s">
        <v>117</v>
      </c>
      <c r="AM153" s="119" t="s">
        <v>119</v>
      </c>
      <c r="AN153" s="119" t="s">
        <v>122</v>
      </c>
      <c r="AO153" s="119" t="s">
        <v>115</v>
      </c>
      <c r="AP153" s="119" t="s">
        <v>120</v>
      </c>
      <c r="AQ153" s="119" t="s">
        <v>116</v>
      </c>
      <c r="AR153" s="119" t="s">
        <v>124</v>
      </c>
      <c r="AS153" s="119" t="s">
        <v>121</v>
      </c>
      <c r="AT153" s="8"/>
      <c r="AU153" s="8">
        <f t="shared" si="6"/>
        <v>16</v>
      </c>
      <c r="AV153" s="8">
        <f t="shared" si="7"/>
        <v>64</v>
      </c>
      <c r="AW153" s="8">
        <f t="shared" si="8"/>
        <v>512</v>
      </c>
      <c r="AX153" s="8">
        <f t="shared" si="9"/>
        <v>4</v>
      </c>
      <c r="AY153" s="8">
        <f t="shared" si="10"/>
        <v>128</v>
      </c>
      <c r="AZ153" s="8">
        <f t="shared" si="11"/>
        <v>8</v>
      </c>
      <c r="BA153" s="8">
        <f t="shared" si="12"/>
        <v>2048</v>
      </c>
      <c r="BB153" s="8">
        <f t="shared" si="13"/>
        <v>256</v>
      </c>
      <c r="BC153" s="8">
        <f t="shared" si="14"/>
        <v>3036</v>
      </c>
      <c r="BD153" s="8"/>
      <c r="BE153" s="8"/>
      <c r="BF153" s="8"/>
      <c r="BG153" s="8"/>
      <c r="BH153" s="8"/>
    </row>
    <row r="154" spans="2:60">
      <c r="B154" s="11"/>
      <c r="C154" s="12"/>
      <c r="D154" s="8"/>
      <c r="E154" s="13"/>
      <c r="F154" s="14"/>
      <c r="G154" s="13"/>
      <c r="H154" s="15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2">
        <v>2012</v>
      </c>
      <c r="AK154" s="118">
        <v>30</v>
      </c>
      <c r="AL154" s="119" t="s">
        <v>117</v>
      </c>
      <c r="AM154" s="119" t="s">
        <v>119</v>
      </c>
      <c r="AN154" s="119" t="s">
        <v>122</v>
      </c>
      <c r="AO154" s="119" t="s">
        <v>115</v>
      </c>
      <c r="AP154" s="119" t="s">
        <v>120</v>
      </c>
      <c r="AQ154" s="119" t="s">
        <v>116</v>
      </c>
      <c r="AR154" s="119" t="s">
        <v>121</v>
      </c>
      <c r="AS154" s="119" t="s">
        <v>123</v>
      </c>
      <c r="AT154" s="8"/>
      <c r="AU154" s="8">
        <f t="shared" si="6"/>
        <v>16</v>
      </c>
      <c r="AV154" s="8">
        <f t="shared" si="7"/>
        <v>64</v>
      </c>
      <c r="AW154" s="8">
        <f t="shared" si="8"/>
        <v>512</v>
      </c>
      <c r="AX154" s="8">
        <f t="shared" si="9"/>
        <v>4</v>
      </c>
      <c r="AY154" s="8">
        <f t="shared" si="10"/>
        <v>128</v>
      </c>
      <c r="AZ154" s="8">
        <f t="shared" si="11"/>
        <v>8</v>
      </c>
      <c r="BA154" s="8">
        <f t="shared" si="12"/>
        <v>256</v>
      </c>
      <c r="BB154" s="8">
        <f t="shared" si="13"/>
        <v>1024</v>
      </c>
      <c r="BC154" s="8">
        <f t="shared" si="14"/>
        <v>2012</v>
      </c>
      <c r="BD154" s="8"/>
      <c r="BE154" s="8"/>
      <c r="BF154" s="8"/>
      <c r="BG154" s="8"/>
      <c r="BH154" s="8"/>
    </row>
    <row r="155" spans="2:60">
      <c r="B155" s="11"/>
      <c r="C155" s="12"/>
      <c r="D155" s="8"/>
      <c r="E155" s="13"/>
      <c r="F155" s="14"/>
      <c r="G155" s="13"/>
      <c r="H155" s="1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2">
        <v>3900</v>
      </c>
      <c r="AK155" s="118">
        <v>31</v>
      </c>
      <c r="AL155" s="119" t="s">
        <v>115</v>
      </c>
      <c r="AM155" s="119" t="s">
        <v>122</v>
      </c>
      <c r="AN155" s="119" t="s">
        <v>117</v>
      </c>
      <c r="AO155" s="119" t="s">
        <v>116</v>
      </c>
      <c r="AP155" s="119" t="s">
        <v>121</v>
      </c>
      <c r="AQ155" s="119" t="s">
        <v>118</v>
      </c>
      <c r="AR155" s="119" t="s">
        <v>124</v>
      </c>
      <c r="AS155" s="119" t="s">
        <v>123</v>
      </c>
      <c r="AT155" s="8"/>
      <c r="AU155" s="8">
        <f t="shared" si="6"/>
        <v>4</v>
      </c>
      <c r="AV155" s="8">
        <f t="shared" si="7"/>
        <v>512</v>
      </c>
      <c r="AW155" s="8">
        <f t="shared" si="8"/>
        <v>16</v>
      </c>
      <c r="AX155" s="8">
        <f t="shared" si="9"/>
        <v>8</v>
      </c>
      <c r="AY155" s="8">
        <f t="shared" si="10"/>
        <v>256</v>
      </c>
      <c r="AZ155" s="8">
        <f t="shared" si="11"/>
        <v>32</v>
      </c>
      <c r="BA155" s="8">
        <f t="shared" si="12"/>
        <v>2048</v>
      </c>
      <c r="BB155" s="8">
        <f t="shared" si="13"/>
        <v>1024</v>
      </c>
      <c r="BC155" s="8">
        <f t="shared" si="14"/>
        <v>3900</v>
      </c>
      <c r="BD155" s="8"/>
      <c r="BE155" s="8"/>
      <c r="BF155" s="8"/>
      <c r="BG155" s="8"/>
      <c r="BH155" s="8"/>
    </row>
    <row r="156" spans="2:60">
      <c r="B156" s="11"/>
      <c r="C156" s="12"/>
      <c r="D156" s="8"/>
      <c r="E156" s="13"/>
      <c r="F156" s="14"/>
      <c r="G156" s="13"/>
      <c r="H156" s="1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2">
        <v>3772</v>
      </c>
      <c r="AK156" s="118">
        <v>32</v>
      </c>
      <c r="AL156" s="119" t="s">
        <v>115</v>
      </c>
      <c r="AM156" s="119" t="s">
        <v>122</v>
      </c>
      <c r="AN156" s="119" t="s">
        <v>117</v>
      </c>
      <c r="AO156" s="119" t="s">
        <v>116</v>
      </c>
      <c r="AP156" s="119" t="s">
        <v>120</v>
      </c>
      <c r="AQ156" s="119" t="s">
        <v>118</v>
      </c>
      <c r="AR156" s="119" t="s">
        <v>124</v>
      </c>
      <c r="AS156" s="119" t="s">
        <v>123</v>
      </c>
      <c r="AT156" s="8"/>
      <c r="AU156" s="8">
        <f t="shared" si="6"/>
        <v>4</v>
      </c>
      <c r="AV156" s="8">
        <f t="shared" si="7"/>
        <v>512</v>
      </c>
      <c r="AW156" s="8">
        <f t="shared" si="8"/>
        <v>16</v>
      </c>
      <c r="AX156" s="8">
        <f t="shared" si="9"/>
        <v>8</v>
      </c>
      <c r="AY156" s="8">
        <f t="shared" si="10"/>
        <v>128</v>
      </c>
      <c r="AZ156" s="8">
        <f t="shared" si="11"/>
        <v>32</v>
      </c>
      <c r="BA156" s="8">
        <f t="shared" si="12"/>
        <v>2048</v>
      </c>
      <c r="BB156" s="8">
        <f t="shared" si="13"/>
        <v>1024</v>
      </c>
      <c r="BC156" s="8">
        <f t="shared" si="14"/>
        <v>3772</v>
      </c>
      <c r="BD156" s="8"/>
      <c r="BE156" s="8"/>
      <c r="BF156" s="8"/>
      <c r="BG156" s="8"/>
      <c r="BH156" s="8"/>
    </row>
    <row r="157" spans="2:60">
      <c r="B157" s="11"/>
      <c r="C157" s="12"/>
      <c r="D157" s="8"/>
      <c r="E157" s="13"/>
      <c r="F157" s="14"/>
      <c r="G157" s="13"/>
      <c r="H157" s="15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2">
        <v>3516</v>
      </c>
      <c r="AK157" s="118">
        <v>33</v>
      </c>
      <c r="AL157" s="119" t="s">
        <v>115</v>
      </c>
      <c r="AM157" s="119" t="s">
        <v>117</v>
      </c>
      <c r="AN157" s="119" t="s">
        <v>121</v>
      </c>
      <c r="AO157" s="119" t="s">
        <v>116</v>
      </c>
      <c r="AP157" s="119" t="s">
        <v>120</v>
      </c>
      <c r="AQ157" s="119" t="s">
        <v>118</v>
      </c>
      <c r="AR157" s="119" t="s">
        <v>124</v>
      </c>
      <c r="AS157" s="119" t="s">
        <v>123</v>
      </c>
      <c r="AT157" s="8"/>
      <c r="AU157" s="8">
        <f t="shared" si="6"/>
        <v>4</v>
      </c>
      <c r="AV157" s="8">
        <f t="shared" si="7"/>
        <v>16</v>
      </c>
      <c r="AW157" s="8">
        <f t="shared" si="8"/>
        <v>256</v>
      </c>
      <c r="AX157" s="8">
        <f t="shared" si="9"/>
        <v>8</v>
      </c>
      <c r="AY157" s="8">
        <f t="shared" si="10"/>
        <v>128</v>
      </c>
      <c r="AZ157" s="8">
        <f t="shared" si="11"/>
        <v>32</v>
      </c>
      <c r="BA157" s="8">
        <f t="shared" si="12"/>
        <v>2048</v>
      </c>
      <c r="BB157" s="8">
        <f t="shared" si="13"/>
        <v>1024</v>
      </c>
      <c r="BC157" s="8">
        <f t="shared" si="14"/>
        <v>3516</v>
      </c>
      <c r="BD157" s="8"/>
      <c r="BE157" s="8"/>
      <c r="BF157" s="8"/>
      <c r="BG157" s="8"/>
      <c r="BH157" s="8"/>
    </row>
    <row r="158" spans="2:60">
      <c r="B158" s="11"/>
      <c r="C158" s="12"/>
      <c r="D158" s="8"/>
      <c r="E158" s="13"/>
      <c r="F158" s="14"/>
      <c r="G158" s="13"/>
      <c r="H158" s="15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2">
        <v>3004</v>
      </c>
      <c r="AK158" s="118">
        <v>34</v>
      </c>
      <c r="AL158" s="119" t="s">
        <v>115</v>
      </c>
      <c r="AM158" s="119" t="s">
        <v>122</v>
      </c>
      <c r="AN158" s="119" t="s">
        <v>117</v>
      </c>
      <c r="AO158" s="119" t="s">
        <v>116</v>
      </c>
      <c r="AP158" s="119" t="s">
        <v>120</v>
      </c>
      <c r="AQ158" s="119" t="s">
        <v>118</v>
      </c>
      <c r="AR158" s="119" t="s">
        <v>124</v>
      </c>
      <c r="AS158" s="119" t="s">
        <v>121</v>
      </c>
      <c r="AT158" s="8"/>
      <c r="AU158" s="8">
        <f t="shared" si="6"/>
        <v>4</v>
      </c>
      <c r="AV158" s="8">
        <f t="shared" si="7"/>
        <v>512</v>
      </c>
      <c r="AW158" s="8">
        <f t="shared" si="8"/>
        <v>16</v>
      </c>
      <c r="AX158" s="8">
        <f t="shared" si="9"/>
        <v>8</v>
      </c>
      <c r="AY158" s="8">
        <f t="shared" si="10"/>
        <v>128</v>
      </c>
      <c r="AZ158" s="8">
        <f t="shared" si="11"/>
        <v>32</v>
      </c>
      <c r="BA158" s="8">
        <f t="shared" si="12"/>
        <v>2048</v>
      </c>
      <c r="BB158" s="8">
        <f t="shared" si="13"/>
        <v>256</v>
      </c>
      <c r="BC158" s="8">
        <f t="shared" si="14"/>
        <v>3004</v>
      </c>
      <c r="BD158" s="8"/>
      <c r="BE158" s="8"/>
      <c r="BF158" s="8"/>
      <c r="BG158" s="8"/>
      <c r="BH158" s="8"/>
    </row>
    <row r="159" spans="2:60">
      <c r="B159" s="11"/>
      <c r="C159" s="12"/>
      <c r="D159" s="8"/>
      <c r="E159" s="13"/>
      <c r="F159" s="14"/>
      <c r="G159" s="13"/>
      <c r="H159" s="15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2">
        <v>1980</v>
      </c>
      <c r="AK159" s="118">
        <v>35</v>
      </c>
      <c r="AL159" s="119" t="s">
        <v>115</v>
      </c>
      <c r="AM159" s="119" t="s">
        <v>122</v>
      </c>
      <c r="AN159" s="119" t="s">
        <v>117</v>
      </c>
      <c r="AO159" s="119" t="s">
        <v>116</v>
      </c>
      <c r="AP159" s="119" t="s">
        <v>120</v>
      </c>
      <c r="AQ159" s="119" t="s">
        <v>118</v>
      </c>
      <c r="AR159" s="119" t="s">
        <v>121</v>
      </c>
      <c r="AS159" s="119" t="s">
        <v>123</v>
      </c>
      <c r="AT159" s="8"/>
      <c r="AU159" s="8">
        <f t="shared" si="6"/>
        <v>4</v>
      </c>
      <c r="AV159" s="8">
        <f t="shared" si="7"/>
        <v>512</v>
      </c>
      <c r="AW159" s="8">
        <f t="shared" si="8"/>
        <v>16</v>
      </c>
      <c r="AX159" s="8">
        <f t="shared" si="9"/>
        <v>8</v>
      </c>
      <c r="AY159" s="8">
        <f t="shared" si="10"/>
        <v>128</v>
      </c>
      <c r="AZ159" s="8">
        <f t="shared" si="11"/>
        <v>32</v>
      </c>
      <c r="BA159" s="8">
        <f t="shared" si="12"/>
        <v>256</v>
      </c>
      <c r="BB159" s="8">
        <f t="shared" si="13"/>
        <v>1024</v>
      </c>
      <c r="BC159" s="8">
        <f t="shared" si="14"/>
        <v>1980</v>
      </c>
      <c r="BD159" s="8"/>
      <c r="BE159" s="8"/>
      <c r="BF159" s="8"/>
      <c r="BG159" s="8"/>
      <c r="BH159" s="8"/>
    </row>
    <row r="160" spans="2:60">
      <c r="B160" s="11"/>
      <c r="C160" s="12"/>
      <c r="D160" s="8"/>
      <c r="E160" s="13"/>
      <c r="F160" s="14"/>
      <c r="G160" s="13"/>
      <c r="H160" s="15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2">
        <v>3708</v>
      </c>
      <c r="AK160" s="118">
        <v>36</v>
      </c>
      <c r="AL160" s="119" t="s">
        <v>115</v>
      </c>
      <c r="AM160" s="119" t="s">
        <v>119</v>
      </c>
      <c r="AN160" s="119" t="s">
        <v>117</v>
      </c>
      <c r="AO160" s="119" t="s">
        <v>116</v>
      </c>
      <c r="AP160" s="119" t="s">
        <v>122</v>
      </c>
      <c r="AQ160" s="119" t="s">
        <v>118</v>
      </c>
      <c r="AR160" s="119" t="s">
        <v>124</v>
      </c>
      <c r="AS160" s="119" t="s">
        <v>123</v>
      </c>
      <c r="AT160" s="8"/>
      <c r="AU160" s="8">
        <f t="shared" si="6"/>
        <v>4</v>
      </c>
      <c r="AV160" s="8">
        <f t="shared" si="7"/>
        <v>64</v>
      </c>
      <c r="AW160" s="8">
        <f t="shared" si="8"/>
        <v>16</v>
      </c>
      <c r="AX160" s="8">
        <f t="shared" si="9"/>
        <v>8</v>
      </c>
      <c r="AY160" s="8">
        <f t="shared" si="10"/>
        <v>512</v>
      </c>
      <c r="AZ160" s="8">
        <f t="shared" si="11"/>
        <v>32</v>
      </c>
      <c r="BA160" s="8">
        <f t="shared" si="12"/>
        <v>2048</v>
      </c>
      <c r="BB160" s="8">
        <f t="shared" si="13"/>
        <v>1024</v>
      </c>
      <c r="BC160" s="8">
        <f t="shared" si="14"/>
        <v>3708</v>
      </c>
      <c r="BD160" s="8"/>
      <c r="BE160" s="8"/>
      <c r="BF160" s="8"/>
      <c r="BG160" s="8"/>
      <c r="BH160" s="8"/>
    </row>
    <row r="161" spans="2:60">
      <c r="B161" s="11"/>
      <c r="C161" s="12"/>
      <c r="D161" s="8"/>
      <c r="E161" s="13"/>
      <c r="F161" s="14"/>
      <c r="G161" s="13"/>
      <c r="H161" s="15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2">
        <v>3452</v>
      </c>
      <c r="AK161" s="118">
        <v>37</v>
      </c>
      <c r="AL161" s="119" t="s">
        <v>115</v>
      </c>
      <c r="AM161" s="119" t="s">
        <v>119</v>
      </c>
      <c r="AN161" s="119" t="s">
        <v>117</v>
      </c>
      <c r="AO161" s="119" t="s">
        <v>116</v>
      </c>
      <c r="AP161" s="119" t="s">
        <v>121</v>
      </c>
      <c r="AQ161" s="119" t="s">
        <v>118</v>
      </c>
      <c r="AR161" s="119" t="s">
        <v>124</v>
      </c>
      <c r="AS161" s="119" t="s">
        <v>123</v>
      </c>
      <c r="AT161" s="8"/>
      <c r="AU161" s="8">
        <f t="shared" si="6"/>
        <v>4</v>
      </c>
      <c r="AV161" s="8">
        <f t="shared" si="7"/>
        <v>64</v>
      </c>
      <c r="AW161" s="8">
        <f t="shared" si="8"/>
        <v>16</v>
      </c>
      <c r="AX161" s="8">
        <f t="shared" si="9"/>
        <v>8</v>
      </c>
      <c r="AY161" s="8">
        <f t="shared" si="10"/>
        <v>256</v>
      </c>
      <c r="AZ161" s="8">
        <f t="shared" si="11"/>
        <v>32</v>
      </c>
      <c r="BA161" s="8">
        <f t="shared" si="12"/>
        <v>2048</v>
      </c>
      <c r="BB161" s="8">
        <f t="shared" si="13"/>
        <v>1024</v>
      </c>
      <c r="BC161" s="8">
        <f t="shared" si="14"/>
        <v>3452</v>
      </c>
      <c r="BD161" s="8"/>
      <c r="BE161" s="8"/>
      <c r="BF161" s="8"/>
      <c r="BG161" s="8"/>
      <c r="BH161" s="8"/>
    </row>
    <row r="162" spans="2:60">
      <c r="B162" s="11"/>
      <c r="C162" s="12"/>
      <c r="D162" s="8"/>
      <c r="E162" s="13"/>
      <c r="F162" s="14"/>
      <c r="G162" s="13"/>
      <c r="H162" s="1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2">
        <v>2940</v>
      </c>
      <c r="AK162" s="118">
        <v>38</v>
      </c>
      <c r="AL162" s="119" t="s">
        <v>115</v>
      </c>
      <c r="AM162" s="119" t="s">
        <v>119</v>
      </c>
      <c r="AN162" s="119" t="s">
        <v>117</v>
      </c>
      <c r="AO162" s="119" t="s">
        <v>116</v>
      </c>
      <c r="AP162" s="119" t="s">
        <v>122</v>
      </c>
      <c r="AQ162" s="119" t="s">
        <v>118</v>
      </c>
      <c r="AR162" s="119" t="s">
        <v>124</v>
      </c>
      <c r="AS162" s="119" t="s">
        <v>121</v>
      </c>
      <c r="AT162" s="8"/>
      <c r="AU162" s="8">
        <f t="shared" si="6"/>
        <v>4</v>
      </c>
      <c r="AV162" s="8">
        <f t="shared" si="7"/>
        <v>64</v>
      </c>
      <c r="AW162" s="8">
        <f t="shared" si="8"/>
        <v>16</v>
      </c>
      <c r="AX162" s="8">
        <f t="shared" si="9"/>
        <v>8</v>
      </c>
      <c r="AY162" s="8">
        <f t="shared" si="10"/>
        <v>512</v>
      </c>
      <c r="AZ162" s="8">
        <f t="shared" si="11"/>
        <v>32</v>
      </c>
      <c r="BA162" s="8">
        <f t="shared" si="12"/>
        <v>2048</v>
      </c>
      <c r="BB162" s="8">
        <f t="shared" si="13"/>
        <v>256</v>
      </c>
      <c r="BC162" s="8">
        <f t="shared" si="14"/>
        <v>2940</v>
      </c>
      <c r="BD162" s="8"/>
      <c r="BE162" s="8"/>
      <c r="BF162" s="8"/>
      <c r="BG162" s="8"/>
      <c r="BH162" s="8"/>
    </row>
    <row r="163" spans="2:60">
      <c r="B163" s="11"/>
      <c r="C163" s="12"/>
      <c r="D163" s="8"/>
      <c r="E163" s="13"/>
      <c r="F163" s="14"/>
      <c r="G163" s="13"/>
      <c r="H163" s="1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2">
        <v>1916</v>
      </c>
      <c r="AK163" s="118">
        <v>39</v>
      </c>
      <c r="AL163" s="119" t="s">
        <v>115</v>
      </c>
      <c r="AM163" s="119" t="s">
        <v>119</v>
      </c>
      <c r="AN163" s="119" t="s">
        <v>117</v>
      </c>
      <c r="AO163" s="119" t="s">
        <v>116</v>
      </c>
      <c r="AP163" s="119" t="s">
        <v>122</v>
      </c>
      <c r="AQ163" s="119" t="s">
        <v>118</v>
      </c>
      <c r="AR163" s="119" t="s">
        <v>121</v>
      </c>
      <c r="AS163" s="119" t="s">
        <v>123</v>
      </c>
      <c r="AT163" s="8"/>
      <c r="AU163" s="8">
        <f t="shared" si="6"/>
        <v>4</v>
      </c>
      <c r="AV163" s="8">
        <f t="shared" si="7"/>
        <v>64</v>
      </c>
      <c r="AW163" s="8">
        <f t="shared" si="8"/>
        <v>16</v>
      </c>
      <c r="AX163" s="8">
        <f t="shared" si="9"/>
        <v>8</v>
      </c>
      <c r="AY163" s="8">
        <f t="shared" si="10"/>
        <v>512</v>
      </c>
      <c r="AZ163" s="8">
        <f t="shared" si="11"/>
        <v>32</v>
      </c>
      <c r="BA163" s="8">
        <f t="shared" si="12"/>
        <v>256</v>
      </c>
      <c r="BB163" s="8">
        <f t="shared" si="13"/>
        <v>1024</v>
      </c>
      <c r="BC163" s="8">
        <f t="shared" si="14"/>
        <v>1916</v>
      </c>
      <c r="BD163" s="8"/>
      <c r="BE163" s="8"/>
      <c r="BF163" s="8"/>
      <c r="BG163" s="8"/>
      <c r="BH163" s="8"/>
    </row>
    <row r="164" spans="2:60">
      <c r="B164" s="11"/>
      <c r="C164" s="12"/>
      <c r="D164" s="8"/>
      <c r="E164" s="13"/>
      <c r="F164" s="14"/>
      <c r="G164" s="13"/>
      <c r="H164" s="15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2">
        <v>3324</v>
      </c>
      <c r="AK164" s="118">
        <v>40</v>
      </c>
      <c r="AL164" s="119" t="s">
        <v>115</v>
      </c>
      <c r="AM164" s="119" t="s">
        <v>119</v>
      </c>
      <c r="AN164" s="119" t="s">
        <v>117</v>
      </c>
      <c r="AO164" s="119" t="s">
        <v>116</v>
      </c>
      <c r="AP164" s="119" t="s">
        <v>120</v>
      </c>
      <c r="AQ164" s="119" t="s">
        <v>118</v>
      </c>
      <c r="AR164" s="119" t="s">
        <v>124</v>
      </c>
      <c r="AS164" s="119" t="s">
        <v>123</v>
      </c>
      <c r="AT164" s="8"/>
      <c r="AU164" s="8">
        <f t="shared" si="6"/>
        <v>4</v>
      </c>
      <c r="AV164" s="8">
        <f t="shared" si="7"/>
        <v>64</v>
      </c>
      <c r="AW164" s="8">
        <f t="shared" si="8"/>
        <v>16</v>
      </c>
      <c r="AX164" s="8">
        <f t="shared" si="9"/>
        <v>8</v>
      </c>
      <c r="AY164" s="8">
        <f t="shared" si="10"/>
        <v>128</v>
      </c>
      <c r="AZ164" s="8">
        <f t="shared" si="11"/>
        <v>32</v>
      </c>
      <c r="BA164" s="8">
        <f t="shared" si="12"/>
        <v>2048</v>
      </c>
      <c r="BB164" s="8">
        <f t="shared" si="13"/>
        <v>1024</v>
      </c>
      <c r="BC164" s="8">
        <f t="shared" si="14"/>
        <v>3324</v>
      </c>
      <c r="BD164" s="8"/>
      <c r="BE164" s="8"/>
      <c r="BF164" s="8"/>
      <c r="BG164" s="8"/>
      <c r="BH164" s="8"/>
    </row>
    <row r="165" spans="2:60">
      <c r="B165" s="11"/>
      <c r="C165" s="12"/>
      <c r="D165" s="8"/>
      <c r="E165" s="13"/>
      <c r="F165" s="14"/>
      <c r="G165" s="13"/>
      <c r="H165" s="1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2">
        <v>2812</v>
      </c>
      <c r="AK165" s="118">
        <v>41</v>
      </c>
      <c r="AL165" s="119" t="s">
        <v>115</v>
      </c>
      <c r="AM165" s="119" t="s">
        <v>119</v>
      </c>
      <c r="AN165" s="119" t="s">
        <v>122</v>
      </c>
      <c r="AO165" s="119" t="s">
        <v>116</v>
      </c>
      <c r="AP165" s="119" t="s">
        <v>120</v>
      </c>
      <c r="AQ165" s="119" t="s">
        <v>118</v>
      </c>
      <c r="AR165" s="119" t="s">
        <v>124</v>
      </c>
      <c r="AS165" s="119" t="s">
        <v>117</v>
      </c>
      <c r="AT165" s="8"/>
      <c r="AU165" s="8">
        <f t="shared" si="6"/>
        <v>4</v>
      </c>
      <c r="AV165" s="8">
        <f t="shared" si="7"/>
        <v>64</v>
      </c>
      <c r="AW165" s="8">
        <f t="shared" si="8"/>
        <v>512</v>
      </c>
      <c r="AX165" s="8">
        <f t="shared" si="9"/>
        <v>8</v>
      </c>
      <c r="AY165" s="8">
        <f t="shared" si="10"/>
        <v>128</v>
      </c>
      <c r="AZ165" s="8">
        <f t="shared" si="11"/>
        <v>32</v>
      </c>
      <c r="BA165" s="8">
        <f t="shared" si="12"/>
        <v>2048</v>
      </c>
      <c r="BB165" s="8">
        <f t="shared" si="13"/>
        <v>16</v>
      </c>
      <c r="BC165" s="8">
        <f t="shared" si="14"/>
        <v>2812</v>
      </c>
      <c r="BD165" s="8"/>
      <c r="BE165" s="8"/>
      <c r="BF165" s="8"/>
      <c r="BG165" s="8"/>
      <c r="BH165" s="8"/>
    </row>
    <row r="166" spans="2:60">
      <c r="B166" s="11"/>
      <c r="C166" s="12"/>
      <c r="D166" s="8"/>
      <c r="E166" s="13"/>
      <c r="F166" s="14"/>
      <c r="G166" s="13"/>
      <c r="H166" s="1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2">
        <v>1788</v>
      </c>
      <c r="AK166" s="118">
        <v>42</v>
      </c>
      <c r="AL166" s="119" t="s">
        <v>115</v>
      </c>
      <c r="AM166" s="119" t="s">
        <v>119</v>
      </c>
      <c r="AN166" s="119" t="s">
        <v>122</v>
      </c>
      <c r="AO166" s="119" t="s">
        <v>116</v>
      </c>
      <c r="AP166" s="119" t="s">
        <v>120</v>
      </c>
      <c r="AQ166" s="119" t="s">
        <v>118</v>
      </c>
      <c r="AR166" s="119" t="s">
        <v>117</v>
      </c>
      <c r="AS166" s="119" t="s">
        <v>123</v>
      </c>
      <c r="AT166" s="8"/>
      <c r="AU166" s="8">
        <f t="shared" si="6"/>
        <v>4</v>
      </c>
      <c r="AV166" s="8">
        <f t="shared" si="7"/>
        <v>64</v>
      </c>
      <c r="AW166" s="8">
        <f t="shared" si="8"/>
        <v>512</v>
      </c>
      <c r="AX166" s="8">
        <f t="shared" si="9"/>
        <v>8</v>
      </c>
      <c r="AY166" s="8">
        <f t="shared" si="10"/>
        <v>128</v>
      </c>
      <c r="AZ166" s="8">
        <f t="shared" si="11"/>
        <v>32</v>
      </c>
      <c r="BA166" s="8">
        <f t="shared" si="12"/>
        <v>16</v>
      </c>
      <c r="BB166" s="8">
        <f t="shared" si="13"/>
        <v>1024</v>
      </c>
      <c r="BC166" s="8">
        <f t="shared" si="14"/>
        <v>1788</v>
      </c>
      <c r="BD166" s="8"/>
      <c r="BE166" s="8"/>
      <c r="BF166" s="8"/>
      <c r="BG166" s="8"/>
      <c r="BH166" s="8"/>
    </row>
    <row r="167" spans="2:60">
      <c r="B167" s="11"/>
      <c r="C167" s="12"/>
      <c r="D167" s="8"/>
      <c r="E167" s="13"/>
      <c r="F167" s="14"/>
      <c r="G167" s="13"/>
      <c r="H167" s="1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2">
        <v>2556</v>
      </c>
      <c r="AK167" s="118">
        <v>43</v>
      </c>
      <c r="AL167" s="119" t="s">
        <v>115</v>
      </c>
      <c r="AM167" s="119" t="s">
        <v>119</v>
      </c>
      <c r="AN167" s="119" t="s">
        <v>117</v>
      </c>
      <c r="AO167" s="119" t="s">
        <v>116</v>
      </c>
      <c r="AP167" s="119" t="s">
        <v>120</v>
      </c>
      <c r="AQ167" s="119" t="s">
        <v>118</v>
      </c>
      <c r="AR167" s="119" t="s">
        <v>124</v>
      </c>
      <c r="AS167" s="119" t="s">
        <v>121</v>
      </c>
      <c r="AT167" s="8"/>
      <c r="AU167" s="8">
        <f t="shared" si="6"/>
        <v>4</v>
      </c>
      <c r="AV167" s="8">
        <f t="shared" si="7"/>
        <v>64</v>
      </c>
      <c r="AW167" s="8">
        <f t="shared" si="8"/>
        <v>16</v>
      </c>
      <c r="AX167" s="8">
        <f t="shared" si="9"/>
        <v>8</v>
      </c>
      <c r="AY167" s="8">
        <f t="shared" si="10"/>
        <v>128</v>
      </c>
      <c r="AZ167" s="8">
        <f t="shared" si="11"/>
        <v>32</v>
      </c>
      <c r="BA167" s="8">
        <f t="shared" si="12"/>
        <v>2048</v>
      </c>
      <c r="BB167" s="8">
        <f t="shared" si="13"/>
        <v>256</v>
      </c>
      <c r="BC167" s="8">
        <f t="shared" si="14"/>
        <v>2556</v>
      </c>
      <c r="BD167" s="8"/>
      <c r="BE167" s="8"/>
      <c r="BF167" s="8"/>
      <c r="BG167" s="8"/>
      <c r="BH167" s="8"/>
    </row>
    <row r="168" spans="2:60">
      <c r="B168" s="11"/>
      <c r="C168" s="12"/>
      <c r="D168" s="8"/>
      <c r="E168" s="13"/>
      <c r="F168" s="14"/>
      <c r="G168" s="13"/>
      <c r="H168" s="1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2">
        <v>1532</v>
      </c>
      <c r="AK168" s="118">
        <v>44</v>
      </c>
      <c r="AL168" s="119" t="s">
        <v>115</v>
      </c>
      <c r="AM168" s="119" t="s">
        <v>119</v>
      </c>
      <c r="AN168" s="119" t="s">
        <v>117</v>
      </c>
      <c r="AO168" s="119" t="s">
        <v>116</v>
      </c>
      <c r="AP168" s="119" t="s">
        <v>120</v>
      </c>
      <c r="AQ168" s="119" t="s">
        <v>118</v>
      </c>
      <c r="AR168" s="119" t="s">
        <v>121</v>
      </c>
      <c r="AS168" s="119" t="s">
        <v>123</v>
      </c>
      <c r="AT168" s="8"/>
      <c r="AU168" s="8">
        <f t="shared" si="6"/>
        <v>4</v>
      </c>
      <c r="AV168" s="8">
        <f t="shared" si="7"/>
        <v>64</v>
      </c>
      <c r="AW168" s="8">
        <f t="shared" si="8"/>
        <v>16</v>
      </c>
      <c r="AX168" s="8">
        <f t="shared" si="9"/>
        <v>8</v>
      </c>
      <c r="AY168" s="8">
        <f t="shared" si="10"/>
        <v>128</v>
      </c>
      <c r="AZ168" s="8">
        <f t="shared" si="11"/>
        <v>32</v>
      </c>
      <c r="BA168" s="8">
        <f t="shared" si="12"/>
        <v>256</v>
      </c>
      <c r="BB168" s="8">
        <f t="shared" si="13"/>
        <v>1024</v>
      </c>
      <c r="BC168" s="8">
        <f t="shared" si="14"/>
        <v>1532</v>
      </c>
      <c r="BD168" s="8"/>
      <c r="BE168" s="8"/>
      <c r="BF168" s="8"/>
      <c r="BG168" s="8"/>
      <c r="BH168" s="8"/>
    </row>
    <row r="169" spans="2:60">
      <c r="B169" s="11"/>
      <c r="C169" s="12"/>
      <c r="D169" s="8"/>
      <c r="E169" s="13"/>
      <c r="F169" s="14"/>
      <c r="G169" s="13"/>
      <c r="H169" s="1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2">
        <v>1020</v>
      </c>
      <c r="AK169" s="118">
        <v>45</v>
      </c>
      <c r="AL169" s="119" t="s">
        <v>115</v>
      </c>
      <c r="AM169" s="119" t="s">
        <v>119</v>
      </c>
      <c r="AN169" s="119" t="s">
        <v>122</v>
      </c>
      <c r="AO169" s="119" t="s">
        <v>116</v>
      </c>
      <c r="AP169" s="119" t="s">
        <v>120</v>
      </c>
      <c r="AQ169" s="119" t="s">
        <v>118</v>
      </c>
      <c r="AR169" s="119" t="s">
        <v>117</v>
      </c>
      <c r="AS169" s="119" t="s">
        <v>121</v>
      </c>
      <c r="AT169" s="8"/>
      <c r="AU169" s="8">
        <f t="shared" si="6"/>
        <v>4</v>
      </c>
      <c r="AV169" s="8">
        <f t="shared" si="7"/>
        <v>64</v>
      </c>
      <c r="AW169" s="8">
        <f t="shared" si="8"/>
        <v>512</v>
      </c>
      <c r="AX169" s="8">
        <f t="shared" si="9"/>
        <v>8</v>
      </c>
      <c r="AY169" s="8">
        <f t="shared" si="10"/>
        <v>128</v>
      </c>
      <c r="AZ169" s="8">
        <f t="shared" si="11"/>
        <v>32</v>
      </c>
      <c r="BA169" s="8">
        <f t="shared" si="12"/>
        <v>16</v>
      </c>
      <c r="BB169" s="8">
        <f t="shared" si="13"/>
        <v>256</v>
      </c>
      <c r="BC169" s="8">
        <f t="shared" si="14"/>
        <v>1020</v>
      </c>
      <c r="BD169" s="8"/>
      <c r="BE169" s="8"/>
      <c r="BF169" s="8"/>
      <c r="BG169" s="8"/>
      <c r="BH169" s="8"/>
    </row>
    <row r="170" spans="2:60">
      <c r="B170" s="11"/>
      <c r="C170" s="12"/>
      <c r="D170" s="8"/>
      <c r="E170" s="13"/>
      <c r="F170" s="14"/>
      <c r="G170" s="13"/>
      <c r="H170" s="1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2">
        <v>4066</v>
      </c>
      <c r="AK170" s="118">
        <v>46</v>
      </c>
      <c r="AL170" s="119" t="s">
        <v>120</v>
      </c>
      <c r="AM170" s="119" t="s">
        <v>122</v>
      </c>
      <c r="AN170" s="119" t="s">
        <v>114</v>
      </c>
      <c r="AO170" s="119" t="s">
        <v>118</v>
      </c>
      <c r="AP170" s="119" t="s">
        <v>121</v>
      </c>
      <c r="AQ170" s="119" t="s">
        <v>119</v>
      </c>
      <c r="AR170" s="119" t="s">
        <v>124</v>
      </c>
      <c r="AS170" s="119" t="s">
        <v>123</v>
      </c>
      <c r="AT170" s="8"/>
      <c r="AU170" s="8">
        <f t="shared" si="6"/>
        <v>128</v>
      </c>
      <c r="AV170" s="8">
        <f t="shared" si="7"/>
        <v>512</v>
      </c>
      <c r="AW170" s="8">
        <f t="shared" si="8"/>
        <v>2</v>
      </c>
      <c r="AX170" s="8">
        <f t="shared" si="9"/>
        <v>32</v>
      </c>
      <c r="AY170" s="8">
        <f t="shared" si="10"/>
        <v>256</v>
      </c>
      <c r="AZ170" s="8">
        <f t="shared" si="11"/>
        <v>64</v>
      </c>
      <c r="BA170" s="8">
        <f t="shared" si="12"/>
        <v>2048</v>
      </c>
      <c r="BB170" s="8">
        <f t="shared" si="13"/>
        <v>1024</v>
      </c>
      <c r="BC170" s="8">
        <f t="shared" si="14"/>
        <v>4066</v>
      </c>
      <c r="BD170" s="8"/>
      <c r="BE170" s="8"/>
      <c r="BF170" s="8"/>
      <c r="BG170" s="8"/>
      <c r="BH170" s="8"/>
    </row>
    <row r="171" spans="2:60">
      <c r="B171" s="11"/>
      <c r="C171" s="12"/>
      <c r="D171" s="8"/>
      <c r="E171" s="13"/>
      <c r="F171" s="14"/>
      <c r="G171" s="13"/>
      <c r="H171" s="15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2">
        <v>4050</v>
      </c>
      <c r="AK171" s="118">
        <v>47</v>
      </c>
      <c r="AL171" s="119" t="s">
        <v>117</v>
      </c>
      <c r="AM171" s="119" t="s">
        <v>122</v>
      </c>
      <c r="AN171" s="119" t="s">
        <v>121</v>
      </c>
      <c r="AO171" s="119" t="s">
        <v>114</v>
      </c>
      <c r="AP171" s="119" t="s">
        <v>120</v>
      </c>
      <c r="AQ171" s="119" t="s">
        <v>119</v>
      </c>
      <c r="AR171" s="119" t="s">
        <v>124</v>
      </c>
      <c r="AS171" s="119" t="s">
        <v>123</v>
      </c>
      <c r="AT171" s="8"/>
      <c r="AU171" s="8">
        <f t="shared" si="6"/>
        <v>16</v>
      </c>
      <c r="AV171" s="8">
        <f t="shared" si="7"/>
        <v>512</v>
      </c>
      <c r="AW171" s="8">
        <f t="shared" si="8"/>
        <v>256</v>
      </c>
      <c r="AX171" s="8">
        <f t="shared" si="9"/>
        <v>2</v>
      </c>
      <c r="AY171" s="8">
        <f t="shared" si="10"/>
        <v>128</v>
      </c>
      <c r="AZ171" s="8">
        <f t="shared" si="11"/>
        <v>64</v>
      </c>
      <c r="BA171" s="8">
        <f t="shared" si="12"/>
        <v>2048</v>
      </c>
      <c r="BB171" s="8">
        <f t="shared" si="13"/>
        <v>1024</v>
      </c>
      <c r="BC171" s="8">
        <f t="shared" si="14"/>
        <v>4050</v>
      </c>
      <c r="BD171" s="8"/>
      <c r="BE171" s="8"/>
      <c r="BF171" s="8"/>
      <c r="BG171" s="8"/>
      <c r="BH171" s="8"/>
    </row>
    <row r="172" spans="2:60">
      <c r="B172" s="11"/>
      <c r="C172" s="12"/>
      <c r="D172" s="8"/>
      <c r="E172" s="13"/>
      <c r="F172" s="14"/>
      <c r="G172" s="13"/>
      <c r="H172" s="1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2">
        <v>4018</v>
      </c>
      <c r="AK172" s="118">
        <v>48</v>
      </c>
      <c r="AL172" s="119" t="s">
        <v>117</v>
      </c>
      <c r="AM172" s="119" t="s">
        <v>122</v>
      </c>
      <c r="AN172" s="119" t="s">
        <v>114</v>
      </c>
      <c r="AO172" s="119" t="s">
        <v>118</v>
      </c>
      <c r="AP172" s="119" t="s">
        <v>121</v>
      </c>
      <c r="AQ172" s="119" t="s">
        <v>120</v>
      </c>
      <c r="AR172" s="119" t="s">
        <v>124</v>
      </c>
      <c r="AS172" s="119" t="s">
        <v>123</v>
      </c>
      <c r="AT172" s="8"/>
      <c r="AU172" s="8">
        <f t="shared" si="6"/>
        <v>16</v>
      </c>
      <c r="AV172" s="8">
        <f t="shared" si="7"/>
        <v>512</v>
      </c>
      <c r="AW172" s="8">
        <f t="shared" si="8"/>
        <v>2</v>
      </c>
      <c r="AX172" s="8">
        <f t="shared" si="9"/>
        <v>32</v>
      </c>
      <c r="AY172" s="8">
        <f t="shared" si="10"/>
        <v>256</v>
      </c>
      <c r="AZ172" s="8">
        <f t="shared" si="11"/>
        <v>128</v>
      </c>
      <c r="BA172" s="8">
        <f t="shared" si="12"/>
        <v>2048</v>
      </c>
      <c r="BB172" s="8">
        <f t="shared" si="13"/>
        <v>1024</v>
      </c>
      <c r="BC172" s="8">
        <f t="shared" si="14"/>
        <v>4018</v>
      </c>
      <c r="BD172" s="8"/>
      <c r="BE172" s="8"/>
      <c r="BF172" s="8"/>
      <c r="BG172" s="8"/>
      <c r="BH172" s="8"/>
    </row>
    <row r="173" spans="2:60">
      <c r="B173" s="11"/>
      <c r="C173" s="12"/>
      <c r="D173" s="8"/>
      <c r="E173" s="13"/>
      <c r="F173" s="14"/>
      <c r="G173" s="13"/>
      <c r="H173" s="1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2">
        <v>3954</v>
      </c>
      <c r="AK173" s="118">
        <v>49</v>
      </c>
      <c r="AL173" s="119" t="s">
        <v>117</v>
      </c>
      <c r="AM173" s="119" t="s">
        <v>122</v>
      </c>
      <c r="AN173" s="119" t="s">
        <v>114</v>
      </c>
      <c r="AO173" s="119" t="s">
        <v>118</v>
      </c>
      <c r="AP173" s="119" t="s">
        <v>121</v>
      </c>
      <c r="AQ173" s="119" t="s">
        <v>119</v>
      </c>
      <c r="AR173" s="119" t="s">
        <v>124</v>
      </c>
      <c r="AS173" s="119" t="s">
        <v>123</v>
      </c>
      <c r="AT173" s="8"/>
      <c r="AU173" s="8">
        <f t="shared" si="6"/>
        <v>16</v>
      </c>
      <c r="AV173" s="8">
        <f t="shared" si="7"/>
        <v>512</v>
      </c>
      <c r="AW173" s="8">
        <f t="shared" si="8"/>
        <v>2</v>
      </c>
      <c r="AX173" s="8">
        <f t="shared" si="9"/>
        <v>32</v>
      </c>
      <c r="AY173" s="8">
        <f t="shared" si="10"/>
        <v>256</v>
      </c>
      <c r="AZ173" s="8">
        <f t="shared" si="11"/>
        <v>64</v>
      </c>
      <c r="BA173" s="8">
        <f t="shared" si="12"/>
        <v>2048</v>
      </c>
      <c r="BB173" s="8">
        <f t="shared" si="13"/>
        <v>1024</v>
      </c>
      <c r="BC173" s="8">
        <f t="shared" si="14"/>
        <v>3954</v>
      </c>
      <c r="BD173" s="8"/>
      <c r="BE173" s="8"/>
      <c r="BF173" s="8"/>
      <c r="BG173" s="8"/>
      <c r="BH173" s="8"/>
    </row>
    <row r="174" spans="2:60">
      <c r="B174" s="11"/>
      <c r="C174" s="12"/>
      <c r="D174" s="8"/>
      <c r="E174" s="13"/>
      <c r="F174" s="14"/>
      <c r="G174" s="13"/>
      <c r="H174" s="1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2">
        <v>3826</v>
      </c>
      <c r="AK174" s="118">
        <v>50</v>
      </c>
      <c r="AL174" s="119" t="s">
        <v>117</v>
      </c>
      <c r="AM174" s="119" t="s">
        <v>122</v>
      </c>
      <c r="AN174" s="119" t="s">
        <v>114</v>
      </c>
      <c r="AO174" s="119" t="s">
        <v>118</v>
      </c>
      <c r="AP174" s="119" t="s">
        <v>120</v>
      </c>
      <c r="AQ174" s="119" t="s">
        <v>119</v>
      </c>
      <c r="AR174" s="119" t="s">
        <v>124</v>
      </c>
      <c r="AS174" s="119" t="s">
        <v>123</v>
      </c>
      <c r="AT174" s="8"/>
      <c r="AU174" s="8">
        <f t="shared" si="6"/>
        <v>16</v>
      </c>
      <c r="AV174" s="8">
        <f t="shared" si="7"/>
        <v>512</v>
      </c>
      <c r="AW174" s="8">
        <f t="shared" si="8"/>
        <v>2</v>
      </c>
      <c r="AX174" s="8">
        <f t="shared" si="9"/>
        <v>32</v>
      </c>
      <c r="AY174" s="8">
        <f t="shared" si="10"/>
        <v>128</v>
      </c>
      <c r="AZ174" s="8">
        <f t="shared" si="11"/>
        <v>64</v>
      </c>
      <c r="BA174" s="8">
        <f t="shared" si="12"/>
        <v>2048</v>
      </c>
      <c r="BB174" s="8">
        <f t="shared" si="13"/>
        <v>1024</v>
      </c>
      <c r="BC174" s="8">
        <f t="shared" si="14"/>
        <v>3826</v>
      </c>
      <c r="BD174" s="8"/>
      <c r="BE174" s="8"/>
      <c r="BF174" s="8"/>
      <c r="BG174" s="8"/>
      <c r="BH174" s="8"/>
    </row>
    <row r="175" spans="2:60">
      <c r="B175" s="11"/>
      <c r="C175" s="12"/>
      <c r="D175" s="8"/>
      <c r="E175" s="13"/>
      <c r="F175" s="14"/>
      <c r="G175" s="13"/>
      <c r="H175" s="1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2">
        <v>3570</v>
      </c>
      <c r="AK175" s="118">
        <v>51</v>
      </c>
      <c r="AL175" s="119" t="s">
        <v>117</v>
      </c>
      <c r="AM175" s="119" t="s">
        <v>119</v>
      </c>
      <c r="AN175" s="119" t="s">
        <v>114</v>
      </c>
      <c r="AO175" s="119" t="s">
        <v>118</v>
      </c>
      <c r="AP175" s="119" t="s">
        <v>121</v>
      </c>
      <c r="AQ175" s="119" t="s">
        <v>120</v>
      </c>
      <c r="AR175" s="119" t="s">
        <v>124</v>
      </c>
      <c r="AS175" s="119" t="s">
        <v>123</v>
      </c>
      <c r="AT175" s="8"/>
      <c r="AU175" s="8">
        <f t="shared" si="6"/>
        <v>16</v>
      </c>
      <c r="AV175" s="8">
        <f t="shared" si="7"/>
        <v>64</v>
      </c>
      <c r="AW175" s="8">
        <f t="shared" si="8"/>
        <v>2</v>
      </c>
      <c r="AX175" s="8">
        <f t="shared" si="9"/>
        <v>32</v>
      </c>
      <c r="AY175" s="8">
        <f t="shared" si="10"/>
        <v>256</v>
      </c>
      <c r="AZ175" s="8">
        <f t="shared" si="11"/>
        <v>128</v>
      </c>
      <c r="BA175" s="8">
        <f t="shared" si="12"/>
        <v>2048</v>
      </c>
      <c r="BB175" s="8">
        <f t="shared" si="13"/>
        <v>1024</v>
      </c>
      <c r="BC175" s="8">
        <f t="shared" si="14"/>
        <v>3570</v>
      </c>
      <c r="BD175" s="8"/>
      <c r="BE175" s="8"/>
      <c r="BF175" s="8"/>
      <c r="BG175" s="8"/>
      <c r="BH175" s="8"/>
    </row>
    <row r="176" spans="2:60">
      <c r="B176" s="11"/>
      <c r="C176" s="12"/>
      <c r="D176" s="8"/>
      <c r="E176" s="13"/>
      <c r="F176" s="14"/>
      <c r="G176" s="13"/>
      <c r="H176" s="1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2">
        <v>3058</v>
      </c>
      <c r="AK176" s="118">
        <v>52</v>
      </c>
      <c r="AL176" s="119" t="s">
        <v>117</v>
      </c>
      <c r="AM176" s="119" t="s">
        <v>122</v>
      </c>
      <c r="AN176" s="119" t="s">
        <v>114</v>
      </c>
      <c r="AO176" s="119" t="s">
        <v>118</v>
      </c>
      <c r="AP176" s="119" t="s">
        <v>120</v>
      </c>
      <c r="AQ176" s="119" t="s">
        <v>119</v>
      </c>
      <c r="AR176" s="119" t="s">
        <v>124</v>
      </c>
      <c r="AS176" s="119" t="s">
        <v>121</v>
      </c>
      <c r="AT176" s="8"/>
      <c r="AU176" s="8">
        <f t="shared" si="6"/>
        <v>16</v>
      </c>
      <c r="AV176" s="8">
        <f t="shared" si="7"/>
        <v>512</v>
      </c>
      <c r="AW176" s="8">
        <f t="shared" si="8"/>
        <v>2</v>
      </c>
      <c r="AX176" s="8">
        <f t="shared" si="9"/>
        <v>32</v>
      </c>
      <c r="AY176" s="8">
        <f t="shared" si="10"/>
        <v>128</v>
      </c>
      <c r="AZ176" s="8">
        <f t="shared" si="11"/>
        <v>64</v>
      </c>
      <c r="BA176" s="8">
        <f t="shared" si="12"/>
        <v>2048</v>
      </c>
      <c r="BB176" s="8">
        <f t="shared" si="13"/>
        <v>256</v>
      </c>
      <c r="BC176" s="8">
        <f t="shared" si="14"/>
        <v>3058</v>
      </c>
      <c r="BD176" s="8"/>
      <c r="BE176" s="8"/>
      <c r="BF176" s="8"/>
      <c r="BG176" s="8"/>
      <c r="BH176" s="8"/>
    </row>
    <row r="177" spans="2:60">
      <c r="B177" s="11"/>
      <c r="C177" s="12"/>
      <c r="D177" s="8"/>
      <c r="E177" s="13"/>
      <c r="F177" s="14"/>
      <c r="G177" s="13"/>
      <c r="H177" s="1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2">
        <v>2034</v>
      </c>
      <c r="AK177" s="118">
        <v>53</v>
      </c>
      <c r="AL177" s="119" t="s">
        <v>117</v>
      </c>
      <c r="AM177" s="119" t="s">
        <v>122</v>
      </c>
      <c r="AN177" s="119" t="s">
        <v>114</v>
      </c>
      <c r="AO177" s="119" t="s">
        <v>118</v>
      </c>
      <c r="AP177" s="119" t="s">
        <v>120</v>
      </c>
      <c r="AQ177" s="119" t="s">
        <v>119</v>
      </c>
      <c r="AR177" s="119" t="s">
        <v>121</v>
      </c>
      <c r="AS177" s="119" t="s">
        <v>123</v>
      </c>
      <c r="AT177" s="8"/>
      <c r="AU177" s="8">
        <f t="shared" si="6"/>
        <v>16</v>
      </c>
      <c r="AV177" s="8">
        <f t="shared" si="7"/>
        <v>512</v>
      </c>
      <c r="AW177" s="8">
        <f t="shared" si="8"/>
        <v>2</v>
      </c>
      <c r="AX177" s="8">
        <f t="shared" si="9"/>
        <v>32</v>
      </c>
      <c r="AY177" s="8">
        <f t="shared" si="10"/>
        <v>128</v>
      </c>
      <c r="AZ177" s="8">
        <f t="shared" si="11"/>
        <v>64</v>
      </c>
      <c r="BA177" s="8">
        <f t="shared" si="12"/>
        <v>256</v>
      </c>
      <c r="BB177" s="8">
        <f t="shared" si="13"/>
        <v>1024</v>
      </c>
      <c r="BC177" s="8">
        <f t="shared" si="14"/>
        <v>2034</v>
      </c>
      <c r="BD177" s="8"/>
      <c r="BE177" s="8"/>
      <c r="BF177" s="8"/>
      <c r="BG177" s="8"/>
      <c r="BH177" s="8"/>
    </row>
    <row r="178" spans="2:60">
      <c r="B178" s="11"/>
      <c r="C178" s="12"/>
      <c r="D178" s="8"/>
      <c r="E178" s="13"/>
      <c r="F178" s="14"/>
      <c r="G178" s="13"/>
      <c r="H178" s="1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2">
        <v>4042</v>
      </c>
      <c r="AK178" s="118">
        <v>54</v>
      </c>
      <c r="AL178" s="119" t="s">
        <v>120</v>
      </c>
      <c r="AM178" s="119" t="s">
        <v>122</v>
      </c>
      <c r="AN178" s="119" t="s">
        <v>114</v>
      </c>
      <c r="AO178" s="119" t="s">
        <v>116</v>
      </c>
      <c r="AP178" s="119" t="s">
        <v>121</v>
      </c>
      <c r="AQ178" s="119" t="s">
        <v>119</v>
      </c>
      <c r="AR178" s="119" t="s">
        <v>124</v>
      </c>
      <c r="AS178" s="119" t="s">
        <v>123</v>
      </c>
      <c r="AT178" s="8"/>
      <c r="AU178" s="8">
        <f t="shared" si="6"/>
        <v>128</v>
      </c>
      <c r="AV178" s="8">
        <f t="shared" si="7"/>
        <v>512</v>
      </c>
      <c r="AW178" s="8">
        <f t="shared" si="8"/>
        <v>2</v>
      </c>
      <c r="AX178" s="8">
        <f t="shared" si="9"/>
        <v>8</v>
      </c>
      <c r="AY178" s="8">
        <f t="shared" si="10"/>
        <v>256</v>
      </c>
      <c r="AZ178" s="8">
        <f t="shared" si="11"/>
        <v>64</v>
      </c>
      <c r="BA178" s="8">
        <f t="shared" si="12"/>
        <v>2048</v>
      </c>
      <c r="BB178" s="8">
        <f t="shared" si="13"/>
        <v>1024</v>
      </c>
      <c r="BC178" s="8">
        <f t="shared" si="14"/>
        <v>4042</v>
      </c>
      <c r="BD178" s="8"/>
      <c r="BE178" s="8"/>
      <c r="BF178" s="8"/>
      <c r="BG178" s="8"/>
      <c r="BH178" s="8"/>
    </row>
    <row r="179" spans="2:60">
      <c r="B179" s="11"/>
      <c r="C179" s="12"/>
      <c r="D179" s="8"/>
      <c r="E179" s="13"/>
      <c r="F179" s="14"/>
      <c r="G179" s="13"/>
      <c r="H179" s="1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2">
        <v>4010</v>
      </c>
      <c r="AK179" s="118">
        <v>55</v>
      </c>
      <c r="AL179" s="119" t="s">
        <v>120</v>
      </c>
      <c r="AM179" s="119" t="s">
        <v>122</v>
      </c>
      <c r="AN179" s="119" t="s">
        <v>114</v>
      </c>
      <c r="AO179" s="119" t="s">
        <v>116</v>
      </c>
      <c r="AP179" s="119" t="s">
        <v>121</v>
      </c>
      <c r="AQ179" s="119" t="s">
        <v>118</v>
      </c>
      <c r="AR179" s="119" t="s">
        <v>124</v>
      </c>
      <c r="AS179" s="119" t="s">
        <v>123</v>
      </c>
      <c r="AT179" s="8"/>
      <c r="AU179" s="8">
        <f t="shared" si="6"/>
        <v>128</v>
      </c>
      <c r="AV179" s="8">
        <f t="shared" si="7"/>
        <v>512</v>
      </c>
      <c r="AW179" s="8">
        <f t="shared" si="8"/>
        <v>2</v>
      </c>
      <c r="AX179" s="8">
        <f t="shared" si="9"/>
        <v>8</v>
      </c>
      <c r="AY179" s="8">
        <f t="shared" si="10"/>
        <v>256</v>
      </c>
      <c r="AZ179" s="8">
        <f t="shared" si="11"/>
        <v>32</v>
      </c>
      <c r="BA179" s="8">
        <f t="shared" si="12"/>
        <v>2048</v>
      </c>
      <c r="BB179" s="8">
        <f t="shared" si="13"/>
        <v>1024</v>
      </c>
      <c r="BC179" s="8">
        <f t="shared" si="14"/>
        <v>4010</v>
      </c>
      <c r="BD179" s="8"/>
      <c r="BE179" s="8"/>
      <c r="BF179" s="8"/>
      <c r="BG179" s="8"/>
      <c r="BH179" s="8"/>
    </row>
    <row r="180" spans="2:60">
      <c r="B180" s="11"/>
      <c r="C180" s="12"/>
      <c r="D180" s="8"/>
      <c r="E180" s="13"/>
      <c r="F180" s="14"/>
      <c r="G180" s="13"/>
      <c r="H180" s="1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2">
        <v>3946</v>
      </c>
      <c r="AK180" s="118">
        <v>56</v>
      </c>
      <c r="AL180" s="119" t="s">
        <v>121</v>
      </c>
      <c r="AM180" s="119" t="s">
        <v>119</v>
      </c>
      <c r="AN180" s="119" t="s">
        <v>114</v>
      </c>
      <c r="AO180" s="119" t="s">
        <v>116</v>
      </c>
      <c r="AP180" s="119" t="s">
        <v>122</v>
      </c>
      <c r="AQ180" s="119" t="s">
        <v>118</v>
      </c>
      <c r="AR180" s="119" t="s">
        <v>124</v>
      </c>
      <c r="AS180" s="119" t="s">
        <v>123</v>
      </c>
      <c r="AT180" s="8"/>
      <c r="AU180" s="8">
        <f t="shared" si="6"/>
        <v>256</v>
      </c>
      <c r="AV180" s="8">
        <f t="shared" si="7"/>
        <v>64</v>
      </c>
      <c r="AW180" s="8">
        <f t="shared" si="8"/>
        <v>2</v>
      </c>
      <c r="AX180" s="8">
        <f t="shared" si="9"/>
        <v>8</v>
      </c>
      <c r="AY180" s="8">
        <f t="shared" si="10"/>
        <v>512</v>
      </c>
      <c r="AZ180" s="8">
        <f t="shared" si="11"/>
        <v>32</v>
      </c>
      <c r="BA180" s="8">
        <f t="shared" si="12"/>
        <v>2048</v>
      </c>
      <c r="BB180" s="8">
        <f t="shared" si="13"/>
        <v>1024</v>
      </c>
      <c r="BC180" s="8">
        <f t="shared" si="14"/>
        <v>3946</v>
      </c>
      <c r="BD180" s="8"/>
      <c r="BE180" s="8"/>
      <c r="BF180" s="8"/>
      <c r="BG180" s="8"/>
      <c r="BH180" s="8"/>
    </row>
    <row r="181" spans="2:60">
      <c r="B181" s="11"/>
      <c r="C181" s="12"/>
      <c r="D181" s="8"/>
      <c r="E181" s="13"/>
      <c r="F181" s="14"/>
      <c r="G181" s="13"/>
      <c r="H181" s="1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2">
        <v>3818</v>
      </c>
      <c r="AK181" s="118">
        <v>57</v>
      </c>
      <c r="AL181" s="119" t="s">
        <v>120</v>
      </c>
      <c r="AM181" s="119" t="s">
        <v>119</v>
      </c>
      <c r="AN181" s="119" t="s">
        <v>114</v>
      </c>
      <c r="AO181" s="119" t="s">
        <v>116</v>
      </c>
      <c r="AP181" s="119" t="s">
        <v>122</v>
      </c>
      <c r="AQ181" s="119" t="s">
        <v>118</v>
      </c>
      <c r="AR181" s="119" t="s">
        <v>124</v>
      </c>
      <c r="AS181" s="119" t="s">
        <v>123</v>
      </c>
      <c r="AT181" s="8"/>
      <c r="AU181" s="8">
        <f t="shared" si="6"/>
        <v>128</v>
      </c>
      <c r="AV181" s="8">
        <f t="shared" si="7"/>
        <v>64</v>
      </c>
      <c r="AW181" s="8">
        <f t="shared" si="8"/>
        <v>2</v>
      </c>
      <c r="AX181" s="8">
        <f t="shared" si="9"/>
        <v>8</v>
      </c>
      <c r="AY181" s="8">
        <f t="shared" si="10"/>
        <v>512</v>
      </c>
      <c r="AZ181" s="8">
        <f t="shared" si="11"/>
        <v>32</v>
      </c>
      <c r="BA181" s="8">
        <f t="shared" si="12"/>
        <v>2048</v>
      </c>
      <c r="BB181" s="8">
        <f t="shared" si="13"/>
        <v>1024</v>
      </c>
      <c r="BC181" s="8">
        <f t="shared" si="14"/>
        <v>3818</v>
      </c>
      <c r="BD181" s="8"/>
      <c r="BE181" s="8"/>
      <c r="BF181" s="8"/>
      <c r="BG181" s="8"/>
      <c r="BH181" s="8"/>
    </row>
    <row r="182" spans="2:60">
      <c r="B182" s="11"/>
      <c r="C182" s="12"/>
      <c r="D182" s="8"/>
      <c r="E182" s="13"/>
      <c r="F182" s="14"/>
      <c r="G182" s="13"/>
      <c r="H182" s="1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2">
        <v>3562</v>
      </c>
      <c r="AK182" s="118">
        <v>58</v>
      </c>
      <c r="AL182" s="119" t="s">
        <v>120</v>
      </c>
      <c r="AM182" s="119" t="s">
        <v>119</v>
      </c>
      <c r="AN182" s="119" t="s">
        <v>114</v>
      </c>
      <c r="AO182" s="119" t="s">
        <v>116</v>
      </c>
      <c r="AP182" s="119" t="s">
        <v>121</v>
      </c>
      <c r="AQ182" s="119" t="s">
        <v>118</v>
      </c>
      <c r="AR182" s="119" t="s">
        <v>124</v>
      </c>
      <c r="AS182" s="119" t="s">
        <v>123</v>
      </c>
      <c r="AT182" s="8"/>
      <c r="AU182" s="8">
        <f t="shared" si="6"/>
        <v>128</v>
      </c>
      <c r="AV182" s="8">
        <f t="shared" si="7"/>
        <v>64</v>
      </c>
      <c r="AW182" s="8">
        <f t="shared" si="8"/>
        <v>2</v>
      </c>
      <c r="AX182" s="8">
        <f t="shared" si="9"/>
        <v>8</v>
      </c>
      <c r="AY182" s="8">
        <f t="shared" si="10"/>
        <v>256</v>
      </c>
      <c r="AZ182" s="8">
        <f t="shared" si="11"/>
        <v>32</v>
      </c>
      <c r="BA182" s="8">
        <f t="shared" si="12"/>
        <v>2048</v>
      </c>
      <c r="BB182" s="8">
        <f t="shared" si="13"/>
        <v>1024</v>
      </c>
      <c r="BC182" s="8">
        <f t="shared" si="14"/>
        <v>3562</v>
      </c>
      <c r="BD182" s="8"/>
      <c r="BE182" s="8"/>
      <c r="BF182" s="8"/>
      <c r="BG182" s="8"/>
      <c r="BH182" s="8"/>
    </row>
    <row r="183" spans="2:60">
      <c r="B183" s="11"/>
      <c r="C183" s="12"/>
      <c r="D183" s="8"/>
      <c r="E183" s="13"/>
      <c r="F183" s="14"/>
      <c r="G183" s="13"/>
      <c r="H183" s="1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2">
        <v>3050</v>
      </c>
      <c r="AK183" s="118">
        <v>59</v>
      </c>
      <c r="AL183" s="119" t="s">
        <v>120</v>
      </c>
      <c r="AM183" s="119" t="s">
        <v>119</v>
      </c>
      <c r="AN183" s="119" t="s">
        <v>114</v>
      </c>
      <c r="AO183" s="119" t="s">
        <v>116</v>
      </c>
      <c r="AP183" s="119" t="s">
        <v>122</v>
      </c>
      <c r="AQ183" s="119" t="s">
        <v>118</v>
      </c>
      <c r="AR183" s="119" t="s">
        <v>124</v>
      </c>
      <c r="AS183" s="119" t="s">
        <v>121</v>
      </c>
      <c r="AT183" s="8"/>
      <c r="AU183" s="8">
        <f t="shared" si="6"/>
        <v>128</v>
      </c>
      <c r="AV183" s="8">
        <f t="shared" si="7"/>
        <v>64</v>
      </c>
      <c r="AW183" s="8">
        <f t="shared" si="8"/>
        <v>2</v>
      </c>
      <c r="AX183" s="8">
        <f t="shared" si="9"/>
        <v>8</v>
      </c>
      <c r="AY183" s="8">
        <f t="shared" si="10"/>
        <v>512</v>
      </c>
      <c r="AZ183" s="8">
        <f t="shared" si="11"/>
        <v>32</v>
      </c>
      <c r="BA183" s="8">
        <f t="shared" si="12"/>
        <v>2048</v>
      </c>
      <c r="BB183" s="8">
        <f t="shared" si="13"/>
        <v>256</v>
      </c>
      <c r="BC183" s="8">
        <f t="shared" si="14"/>
        <v>3050</v>
      </c>
      <c r="BD183" s="8"/>
      <c r="BE183" s="8"/>
      <c r="BF183" s="8"/>
      <c r="BG183" s="8"/>
      <c r="BH183" s="8"/>
    </row>
    <row r="184" spans="2:60">
      <c r="B184" s="11"/>
      <c r="C184" s="12"/>
      <c r="D184" s="8"/>
      <c r="E184" s="13"/>
      <c r="F184" s="14"/>
      <c r="G184" s="13"/>
      <c r="H184" s="1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2">
        <v>2026</v>
      </c>
      <c r="AK184" s="118">
        <v>60</v>
      </c>
      <c r="AL184" s="119" t="s">
        <v>120</v>
      </c>
      <c r="AM184" s="119" t="s">
        <v>119</v>
      </c>
      <c r="AN184" s="119" t="s">
        <v>114</v>
      </c>
      <c r="AO184" s="119" t="s">
        <v>116</v>
      </c>
      <c r="AP184" s="119" t="s">
        <v>122</v>
      </c>
      <c r="AQ184" s="119" t="s">
        <v>118</v>
      </c>
      <c r="AR184" s="119" t="s">
        <v>121</v>
      </c>
      <c r="AS184" s="119" t="s">
        <v>123</v>
      </c>
      <c r="AT184" s="8"/>
      <c r="AU184" s="8">
        <f t="shared" si="6"/>
        <v>128</v>
      </c>
      <c r="AV184" s="8">
        <f t="shared" si="7"/>
        <v>64</v>
      </c>
      <c r="AW184" s="8">
        <f t="shared" si="8"/>
        <v>2</v>
      </c>
      <c r="AX184" s="8">
        <f t="shared" si="9"/>
        <v>8</v>
      </c>
      <c r="AY184" s="8">
        <f t="shared" si="10"/>
        <v>512</v>
      </c>
      <c r="AZ184" s="8">
        <f t="shared" si="11"/>
        <v>32</v>
      </c>
      <c r="BA184" s="8">
        <f t="shared" si="12"/>
        <v>256</v>
      </c>
      <c r="BB184" s="8">
        <f t="shared" si="13"/>
        <v>1024</v>
      </c>
      <c r="BC184" s="8">
        <f t="shared" si="14"/>
        <v>2026</v>
      </c>
      <c r="BD184" s="8"/>
      <c r="BE184" s="8"/>
      <c r="BF184" s="8"/>
      <c r="BG184" s="8"/>
      <c r="BH184" s="8"/>
    </row>
    <row r="185" spans="2:60">
      <c r="B185" s="11"/>
      <c r="C185" s="12"/>
      <c r="D185" s="8"/>
      <c r="E185" s="13"/>
      <c r="F185" s="14"/>
      <c r="G185" s="13"/>
      <c r="H185" s="1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2">
        <v>3994</v>
      </c>
      <c r="AK185" s="118">
        <v>61</v>
      </c>
      <c r="AL185" s="119" t="s">
        <v>117</v>
      </c>
      <c r="AM185" s="119" t="s">
        <v>122</v>
      </c>
      <c r="AN185" s="119" t="s">
        <v>114</v>
      </c>
      <c r="AO185" s="119" t="s">
        <v>116</v>
      </c>
      <c r="AP185" s="119" t="s">
        <v>121</v>
      </c>
      <c r="AQ185" s="119" t="s">
        <v>120</v>
      </c>
      <c r="AR185" s="119" t="s">
        <v>124</v>
      </c>
      <c r="AS185" s="119" t="s">
        <v>123</v>
      </c>
      <c r="AT185" s="8"/>
      <c r="AU185" s="8">
        <f t="shared" si="6"/>
        <v>16</v>
      </c>
      <c r="AV185" s="8">
        <f t="shared" si="7"/>
        <v>512</v>
      </c>
      <c r="AW185" s="8">
        <f t="shared" si="8"/>
        <v>2</v>
      </c>
      <c r="AX185" s="8">
        <f t="shared" si="9"/>
        <v>8</v>
      </c>
      <c r="AY185" s="8">
        <f t="shared" si="10"/>
        <v>256</v>
      </c>
      <c r="AZ185" s="8">
        <f t="shared" si="11"/>
        <v>128</v>
      </c>
      <c r="BA185" s="8">
        <f t="shared" si="12"/>
        <v>2048</v>
      </c>
      <c r="BB185" s="8">
        <f t="shared" si="13"/>
        <v>1024</v>
      </c>
      <c r="BC185" s="8">
        <f t="shared" si="14"/>
        <v>3994</v>
      </c>
      <c r="BD185" s="8"/>
      <c r="BE185" s="8"/>
      <c r="BF185" s="8"/>
      <c r="BG185" s="8"/>
      <c r="BH185" s="8"/>
    </row>
    <row r="186" spans="2:60">
      <c r="B186" s="11"/>
      <c r="C186" s="12"/>
      <c r="D186" s="8"/>
      <c r="E186" s="13"/>
      <c r="F186" s="14"/>
      <c r="G186" s="13"/>
      <c r="H186" s="1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2">
        <v>3930</v>
      </c>
      <c r="AK186" s="118">
        <v>62</v>
      </c>
      <c r="AL186" s="119" t="s">
        <v>117</v>
      </c>
      <c r="AM186" s="119" t="s">
        <v>122</v>
      </c>
      <c r="AN186" s="119" t="s">
        <v>114</v>
      </c>
      <c r="AO186" s="119" t="s">
        <v>116</v>
      </c>
      <c r="AP186" s="119" t="s">
        <v>121</v>
      </c>
      <c r="AQ186" s="119" t="s">
        <v>119</v>
      </c>
      <c r="AR186" s="119" t="s">
        <v>124</v>
      </c>
      <c r="AS186" s="119" t="s">
        <v>123</v>
      </c>
      <c r="AT186" s="8"/>
      <c r="AU186" s="8">
        <f t="shared" si="6"/>
        <v>16</v>
      </c>
      <c r="AV186" s="8">
        <f t="shared" si="7"/>
        <v>512</v>
      </c>
      <c r="AW186" s="8">
        <f t="shared" si="8"/>
        <v>2</v>
      </c>
      <c r="AX186" s="8">
        <f t="shared" si="9"/>
        <v>8</v>
      </c>
      <c r="AY186" s="8">
        <f t="shared" si="10"/>
        <v>256</v>
      </c>
      <c r="AZ186" s="8">
        <f t="shared" si="11"/>
        <v>64</v>
      </c>
      <c r="BA186" s="8">
        <f t="shared" si="12"/>
        <v>2048</v>
      </c>
      <c r="BB186" s="8">
        <f t="shared" si="13"/>
        <v>1024</v>
      </c>
      <c r="BC186" s="8">
        <f t="shared" si="14"/>
        <v>3930</v>
      </c>
      <c r="BD186" s="8"/>
      <c r="BE186" s="8"/>
      <c r="BF186" s="8"/>
      <c r="BG186" s="8"/>
      <c r="BH186" s="8"/>
    </row>
    <row r="187" spans="2:60">
      <c r="B187" s="11"/>
      <c r="C187" s="12"/>
      <c r="D187" s="8"/>
      <c r="E187" s="13"/>
      <c r="F187" s="14"/>
      <c r="G187" s="13"/>
      <c r="H187" s="1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2">
        <v>3802</v>
      </c>
      <c r="AK187" s="118">
        <v>63</v>
      </c>
      <c r="AL187" s="119" t="s">
        <v>117</v>
      </c>
      <c r="AM187" s="119" t="s">
        <v>122</v>
      </c>
      <c r="AN187" s="119" t="s">
        <v>114</v>
      </c>
      <c r="AO187" s="119" t="s">
        <v>116</v>
      </c>
      <c r="AP187" s="119" t="s">
        <v>120</v>
      </c>
      <c r="AQ187" s="119" t="s">
        <v>119</v>
      </c>
      <c r="AR187" s="119" t="s">
        <v>124</v>
      </c>
      <c r="AS187" s="119" t="s">
        <v>123</v>
      </c>
      <c r="AT187" s="8"/>
      <c r="AU187" s="8">
        <f t="shared" si="6"/>
        <v>16</v>
      </c>
      <c r="AV187" s="8">
        <f t="shared" si="7"/>
        <v>512</v>
      </c>
      <c r="AW187" s="8">
        <f t="shared" si="8"/>
        <v>2</v>
      </c>
      <c r="AX187" s="8">
        <f t="shared" si="9"/>
        <v>8</v>
      </c>
      <c r="AY187" s="8">
        <f t="shared" si="10"/>
        <v>128</v>
      </c>
      <c r="AZ187" s="8">
        <f t="shared" si="11"/>
        <v>64</v>
      </c>
      <c r="BA187" s="8">
        <f t="shared" si="12"/>
        <v>2048</v>
      </c>
      <c r="BB187" s="8">
        <f t="shared" si="13"/>
        <v>1024</v>
      </c>
      <c r="BC187" s="8">
        <f t="shared" si="14"/>
        <v>3802</v>
      </c>
      <c r="BD187" s="8"/>
      <c r="BE187" s="8"/>
      <c r="BF187" s="8"/>
      <c r="BG187" s="8"/>
      <c r="BH187" s="8"/>
    </row>
    <row r="188" spans="2:60">
      <c r="B188" s="11"/>
      <c r="C188" s="12"/>
      <c r="D188" s="8"/>
      <c r="E188" s="13"/>
      <c r="F188" s="14"/>
      <c r="G188" s="13"/>
      <c r="H188" s="1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2">
        <v>3546</v>
      </c>
      <c r="AK188" s="118">
        <v>64</v>
      </c>
      <c r="AL188" s="119" t="s">
        <v>117</v>
      </c>
      <c r="AM188" s="119" t="s">
        <v>119</v>
      </c>
      <c r="AN188" s="119" t="s">
        <v>114</v>
      </c>
      <c r="AO188" s="119" t="s">
        <v>116</v>
      </c>
      <c r="AP188" s="119" t="s">
        <v>121</v>
      </c>
      <c r="AQ188" s="119" t="s">
        <v>120</v>
      </c>
      <c r="AR188" s="119" t="s">
        <v>124</v>
      </c>
      <c r="AS188" s="119" t="s">
        <v>123</v>
      </c>
      <c r="AT188" s="8"/>
      <c r="AU188" s="8">
        <f t="shared" si="6"/>
        <v>16</v>
      </c>
      <c r="AV188" s="8">
        <f t="shared" si="7"/>
        <v>64</v>
      </c>
      <c r="AW188" s="8">
        <f t="shared" si="8"/>
        <v>2</v>
      </c>
      <c r="AX188" s="8">
        <f t="shared" si="9"/>
        <v>8</v>
      </c>
      <c r="AY188" s="8">
        <f t="shared" si="10"/>
        <v>256</v>
      </c>
      <c r="AZ188" s="8">
        <f t="shared" si="11"/>
        <v>128</v>
      </c>
      <c r="BA188" s="8">
        <f t="shared" si="12"/>
        <v>2048</v>
      </c>
      <c r="BB188" s="8">
        <f t="shared" si="13"/>
        <v>1024</v>
      </c>
      <c r="BC188" s="8">
        <f t="shared" si="14"/>
        <v>3546</v>
      </c>
      <c r="BD188" s="8"/>
      <c r="BE188" s="8"/>
      <c r="BF188" s="8"/>
      <c r="BG188" s="8"/>
      <c r="BH188" s="8"/>
    </row>
    <row r="189" spans="2:60">
      <c r="B189" s="11"/>
      <c r="C189" s="12"/>
      <c r="D189" s="8"/>
      <c r="E189" s="13"/>
      <c r="F189" s="14"/>
      <c r="G189" s="13"/>
      <c r="H189" s="1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2">
        <v>3034</v>
      </c>
      <c r="AK189" s="118">
        <v>65</v>
      </c>
      <c r="AL189" s="119" t="s">
        <v>117</v>
      </c>
      <c r="AM189" s="119" t="s">
        <v>122</v>
      </c>
      <c r="AN189" s="119" t="s">
        <v>114</v>
      </c>
      <c r="AO189" s="119" t="s">
        <v>116</v>
      </c>
      <c r="AP189" s="119" t="s">
        <v>120</v>
      </c>
      <c r="AQ189" s="119" t="s">
        <v>119</v>
      </c>
      <c r="AR189" s="119" t="s">
        <v>124</v>
      </c>
      <c r="AS189" s="119" t="s">
        <v>121</v>
      </c>
      <c r="AT189" s="8"/>
      <c r="AU189" s="8">
        <f t="shared" ref="AU189:AU252" si="15">+VLOOKUP(AL189,$Q$105:$R$116,2)</f>
        <v>16</v>
      </c>
      <c r="AV189" s="8">
        <f t="shared" ref="AV189:AV252" si="16">+VLOOKUP(AM189,$Q$105:$R$116,2)</f>
        <v>512</v>
      </c>
      <c r="AW189" s="8">
        <f t="shared" ref="AW189:AW252" si="17">+VLOOKUP(AN189,$Q$105:$R$116,2)</f>
        <v>2</v>
      </c>
      <c r="AX189" s="8">
        <f t="shared" ref="AX189:AX252" si="18">+VLOOKUP(AO189,$Q$105:$R$116,2)</f>
        <v>8</v>
      </c>
      <c r="AY189" s="8">
        <f t="shared" ref="AY189:AY252" si="19">+VLOOKUP(AP189,$Q$105:$R$116,2)</f>
        <v>128</v>
      </c>
      <c r="AZ189" s="8">
        <f t="shared" ref="AZ189:AZ252" si="20">+VLOOKUP(AQ189,$Q$105:$R$116,2)</f>
        <v>64</v>
      </c>
      <c r="BA189" s="8">
        <f t="shared" ref="BA189:BA252" si="21">+VLOOKUP(AR189,$Q$105:$R$116,2)</f>
        <v>2048</v>
      </c>
      <c r="BB189" s="8">
        <f t="shared" ref="BB189:BB252" si="22">+VLOOKUP(AS189,$Q$105:$R$116,2)</f>
        <v>256</v>
      </c>
      <c r="BC189" s="8">
        <f t="shared" ref="BC189:BC252" si="23">+SUM(AU189:BB189)</f>
        <v>3034</v>
      </c>
      <c r="BD189" s="8"/>
      <c r="BE189" s="8"/>
      <c r="BF189" s="8"/>
      <c r="BG189" s="8"/>
      <c r="BH189" s="8"/>
    </row>
    <row r="190" spans="2:60">
      <c r="B190" s="11"/>
      <c r="C190" s="12"/>
      <c r="D190" s="8"/>
      <c r="E190" s="13"/>
      <c r="F190" s="14"/>
      <c r="G190" s="13"/>
      <c r="H190" s="1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2">
        <v>2010</v>
      </c>
      <c r="AK190" s="118">
        <v>66</v>
      </c>
      <c r="AL190" s="119" t="s">
        <v>117</v>
      </c>
      <c r="AM190" s="119" t="s">
        <v>122</v>
      </c>
      <c r="AN190" s="119" t="s">
        <v>114</v>
      </c>
      <c r="AO190" s="119" t="s">
        <v>116</v>
      </c>
      <c r="AP190" s="119" t="s">
        <v>120</v>
      </c>
      <c r="AQ190" s="119" t="s">
        <v>119</v>
      </c>
      <c r="AR190" s="119" t="s">
        <v>121</v>
      </c>
      <c r="AS190" s="119" t="s">
        <v>123</v>
      </c>
      <c r="AT190" s="8"/>
      <c r="AU190" s="8">
        <f t="shared" si="15"/>
        <v>16</v>
      </c>
      <c r="AV190" s="8">
        <f t="shared" si="16"/>
        <v>512</v>
      </c>
      <c r="AW190" s="8">
        <f t="shared" si="17"/>
        <v>2</v>
      </c>
      <c r="AX190" s="8">
        <f t="shared" si="18"/>
        <v>8</v>
      </c>
      <c r="AY190" s="8">
        <f t="shared" si="19"/>
        <v>128</v>
      </c>
      <c r="AZ190" s="8">
        <f t="shared" si="20"/>
        <v>64</v>
      </c>
      <c r="BA190" s="8">
        <f t="shared" si="21"/>
        <v>256</v>
      </c>
      <c r="BB190" s="8">
        <f t="shared" si="22"/>
        <v>1024</v>
      </c>
      <c r="BC190" s="8">
        <f t="shared" si="23"/>
        <v>2010</v>
      </c>
      <c r="BD190" s="8"/>
      <c r="BE190" s="8"/>
      <c r="BF190" s="8"/>
      <c r="BG190" s="8"/>
      <c r="BH190" s="8"/>
    </row>
    <row r="191" spans="2:60">
      <c r="B191" s="11"/>
      <c r="C191" s="12"/>
      <c r="D191" s="8"/>
      <c r="E191" s="13"/>
      <c r="F191" s="14"/>
      <c r="G191" s="13"/>
      <c r="H191" s="15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2">
        <v>3898</v>
      </c>
      <c r="AK191" s="118">
        <v>67</v>
      </c>
      <c r="AL191" s="119" t="s">
        <v>117</v>
      </c>
      <c r="AM191" s="119" t="s">
        <v>122</v>
      </c>
      <c r="AN191" s="119" t="s">
        <v>114</v>
      </c>
      <c r="AO191" s="119" t="s">
        <v>116</v>
      </c>
      <c r="AP191" s="119" t="s">
        <v>121</v>
      </c>
      <c r="AQ191" s="119" t="s">
        <v>118</v>
      </c>
      <c r="AR191" s="119" t="s">
        <v>124</v>
      </c>
      <c r="AS191" s="119" t="s">
        <v>123</v>
      </c>
      <c r="AT191" s="8"/>
      <c r="AU191" s="8">
        <f t="shared" si="15"/>
        <v>16</v>
      </c>
      <c r="AV191" s="8">
        <f t="shared" si="16"/>
        <v>512</v>
      </c>
      <c r="AW191" s="8">
        <f t="shared" si="17"/>
        <v>2</v>
      </c>
      <c r="AX191" s="8">
        <f t="shared" si="18"/>
        <v>8</v>
      </c>
      <c r="AY191" s="8">
        <f t="shared" si="19"/>
        <v>256</v>
      </c>
      <c r="AZ191" s="8">
        <f t="shared" si="20"/>
        <v>32</v>
      </c>
      <c r="BA191" s="8">
        <f t="shared" si="21"/>
        <v>2048</v>
      </c>
      <c r="BB191" s="8">
        <f t="shared" si="22"/>
        <v>1024</v>
      </c>
      <c r="BC191" s="8">
        <f t="shared" si="23"/>
        <v>3898</v>
      </c>
      <c r="BD191" s="8"/>
      <c r="BE191" s="8"/>
      <c r="BF191" s="8"/>
      <c r="BG191" s="8"/>
      <c r="BH191" s="8"/>
    </row>
    <row r="192" spans="2:60">
      <c r="B192" s="11"/>
      <c r="C192" s="12"/>
      <c r="D192" s="8"/>
      <c r="E192" s="13"/>
      <c r="F192" s="14"/>
      <c r="G192" s="13"/>
      <c r="H192" s="1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2">
        <v>3770</v>
      </c>
      <c r="AK192" s="118">
        <v>68</v>
      </c>
      <c r="AL192" s="119" t="s">
        <v>117</v>
      </c>
      <c r="AM192" s="119" t="s">
        <v>122</v>
      </c>
      <c r="AN192" s="119" t="s">
        <v>114</v>
      </c>
      <c r="AO192" s="119" t="s">
        <v>116</v>
      </c>
      <c r="AP192" s="119" t="s">
        <v>120</v>
      </c>
      <c r="AQ192" s="119" t="s">
        <v>118</v>
      </c>
      <c r="AR192" s="119" t="s">
        <v>124</v>
      </c>
      <c r="AS192" s="119" t="s">
        <v>123</v>
      </c>
      <c r="AT192" s="8"/>
      <c r="AU192" s="8">
        <f t="shared" si="15"/>
        <v>16</v>
      </c>
      <c r="AV192" s="8">
        <f t="shared" si="16"/>
        <v>512</v>
      </c>
      <c r="AW192" s="8">
        <f t="shared" si="17"/>
        <v>2</v>
      </c>
      <c r="AX192" s="8">
        <f t="shared" si="18"/>
        <v>8</v>
      </c>
      <c r="AY192" s="8">
        <f t="shared" si="19"/>
        <v>128</v>
      </c>
      <c r="AZ192" s="8">
        <f t="shared" si="20"/>
        <v>32</v>
      </c>
      <c r="BA192" s="8">
        <f t="shared" si="21"/>
        <v>2048</v>
      </c>
      <c r="BB192" s="8">
        <f t="shared" si="22"/>
        <v>1024</v>
      </c>
      <c r="BC192" s="8">
        <f t="shared" si="23"/>
        <v>3770</v>
      </c>
      <c r="BD192" s="8"/>
      <c r="BE192" s="8"/>
      <c r="BF192" s="8"/>
      <c r="BG192" s="8"/>
      <c r="BH192" s="8"/>
    </row>
    <row r="193" spans="2:60">
      <c r="B193" s="11"/>
      <c r="C193" s="12"/>
      <c r="D193" s="8"/>
      <c r="E193" s="13"/>
      <c r="F193" s="14"/>
      <c r="G193" s="13"/>
      <c r="H193" s="1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2">
        <v>3514</v>
      </c>
      <c r="AK193" s="118">
        <v>69</v>
      </c>
      <c r="AL193" s="119" t="s">
        <v>117</v>
      </c>
      <c r="AM193" s="119" t="s">
        <v>121</v>
      </c>
      <c r="AN193" s="119" t="s">
        <v>114</v>
      </c>
      <c r="AO193" s="119" t="s">
        <v>116</v>
      </c>
      <c r="AP193" s="119" t="s">
        <v>120</v>
      </c>
      <c r="AQ193" s="119" t="s">
        <v>118</v>
      </c>
      <c r="AR193" s="119" t="s">
        <v>124</v>
      </c>
      <c r="AS193" s="119" t="s">
        <v>123</v>
      </c>
      <c r="AT193" s="8"/>
      <c r="AU193" s="8">
        <f t="shared" si="15"/>
        <v>16</v>
      </c>
      <c r="AV193" s="8">
        <f t="shared" si="16"/>
        <v>256</v>
      </c>
      <c r="AW193" s="8">
        <f t="shared" si="17"/>
        <v>2</v>
      </c>
      <c r="AX193" s="8">
        <f t="shared" si="18"/>
        <v>8</v>
      </c>
      <c r="AY193" s="8">
        <f t="shared" si="19"/>
        <v>128</v>
      </c>
      <c r="AZ193" s="8">
        <f t="shared" si="20"/>
        <v>32</v>
      </c>
      <c r="BA193" s="8">
        <f t="shared" si="21"/>
        <v>2048</v>
      </c>
      <c r="BB193" s="8">
        <f t="shared" si="22"/>
        <v>1024</v>
      </c>
      <c r="BC193" s="8">
        <f t="shared" si="23"/>
        <v>3514</v>
      </c>
      <c r="BD193" s="8"/>
      <c r="BE193" s="8"/>
      <c r="BF193" s="8"/>
      <c r="BG193" s="8"/>
      <c r="BH193" s="8"/>
    </row>
    <row r="194" spans="2:60">
      <c r="B194" s="11"/>
      <c r="C194" s="12"/>
      <c r="D194" s="8"/>
      <c r="E194" s="13"/>
      <c r="F194" s="14"/>
      <c r="G194" s="13"/>
      <c r="H194" s="1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2">
        <v>3002</v>
      </c>
      <c r="AK194" s="118">
        <v>70</v>
      </c>
      <c r="AL194" s="119" t="s">
        <v>117</v>
      </c>
      <c r="AM194" s="119" t="s">
        <v>122</v>
      </c>
      <c r="AN194" s="119" t="s">
        <v>114</v>
      </c>
      <c r="AO194" s="119" t="s">
        <v>116</v>
      </c>
      <c r="AP194" s="119" t="s">
        <v>120</v>
      </c>
      <c r="AQ194" s="119" t="s">
        <v>118</v>
      </c>
      <c r="AR194" s="119" t="s">
        <v>124</v>
      </c>
      <c r="AS194" s="119" t="s">
        <v>121</v>
      </c>
      <c r="AT194" s="8"/>
      <c r="AU194" s="8">
        <f t="shared" si="15"/>
        <v>16</v>
      </c>
      <c r="AV194" s="8">
        <f t="shared" si="16"/>
        <v>512</v>
      </c>
      <c r="AW194" s="8">
        <f t="shared" si="17"/>
        <v>2</v>
      </c>
      <c r="AX194" s="8">
        <f t="shared" si="18"/>
        <v>8</v>
      </c>
      <c r="AY194" s="8">
        <f t="shared" si="19"/>
        <v>128</v>
      </c>
      <c r="AZ194" s="8">
        <f t="shared" si="20"/>
        <v>32</v>
      </c>
      <c r="BA194" s="8">
        <f t="shared" si="21"/>
        <v>2048</v>
      </c>
      <c r="BB194" s="8">
        <f t="shared" si="22"/>
        <v>256</v>
      </c>
      <c r="BC194" s="8">
        <f t="shared" si="23"/>
        <v>3002</v>
      </c>
      <c r="BD194" s="8"/>
      <c r="BE194" s="8"/>
      <c r="BF194" s="8"/>
      <c r="BG194" s="8"/>
      <c r="BH194" s="8"/>
    </row>
    <row r="195" spans="2:60">
      <c r="B195" s="11"/>
      <c r="C195" s="12"/>
      <c r="D195" s="8"/>
      <c r="E195" s="13"/>
      <c r="F195" s="14"/>
      <c r="G195" s="13"/>
      <c r="H195" s="15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2">
        <v>1978</v>
      </c>
      <c r="AK195" s="118">
        <v>71</v>
      </c>
      <c r="AL195" s="119" t="s">
        <v>117</v>
      </c>
      <c r="AM195" s="119" t="s">
        <v>122</v>
      </c>
      <c r="AN195" s="119" t="s">
        <v>114</v>
      </c>
      <c r="AO195" s="119" t="s">
        <v>116</v>
      </c>
      <c r="AP195" s="119" t="s">
        <v>120</v>
      </c>
      <c r="AQ195" s="119" t="s">
        <v>118</v>
      </c>
      <c r="AR195" s="119" t="s">
        <v>121</v>
      </c>
      <c r="AS195" s="119" t="s">
        <v>123</v>
      </c>
      <c r="AT195" s="8"/>
      <c r="AU195" s="8">
        <f t="shared" si="15"/>
        <v>16</v>
      </c>
      <c r="AV195" s="8">
        <f t="shared" si="16"/>
        <v>512</v>
      </c>
      <c r="AW195" s="8">
        <f t="shared" si="17"/>
        <v>2</v>
      </c>
      <c r="AX195" s="8">
        <f t="shared" si="18"/>
        <v>8</v>
      </c>
      <c r="AY195" s="8">
        <f t="shared" si="19"/>
        <v>128</v>
      </c>
      <c r="AZ195" s="8">
        <f t="shared" si="20"/>
        <v>32</v>
      </c>
      <c r="BA195" s="8">
        <f t="shared" si="21"/>
        <v>256</v>
      </c>
      <c r="BB195" s="8">
        <f t="shared" si="22"/>
        <v>1024</v>
      </c>
      <c r="BC195" s="8">
        <f t="shared" si="23"/>
        <v>1978</v>
      </c>
      <c r="BD195" s="8"/>
      <c r="BE195" s="8"/>
      <c r="BF195" s="8"/>
      <c r="BG195" s="8"/>
      <c r="BH195" s="8"/>
    </row>
    <row r="196" spans="2:60">
      <c r="B196" s="11"/>
      <c r="C196" s="12"/>
      <c r="D196" s="8"/>
      <c r="E196" s="13"/>
      <c r="F196" s="14"/>
      <c r="G196" s="13"/>
      <c r="H196" s="1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2">
        <v>3706</v>
      </c>
      <c r="AK196" s="118">
        <v>72</v>
      </c>
      <c r="AL196" s="119" t="s">
        <v>117</v>
      </c>
      <c r="AM196" s="119" t="s">
        <v>119</v>
      </c>
      <c r="AN196" s="119" t="s">
        <v>114</v>
      </c>
      <c r="AO196" s="119" t="s">
        <v>116</v>
      </c>
      <c r="AP196" s="119" t="s">
        <v>122</v>
      </c>
      <c r="AQ196" s="119" t="s">
        <v>118</v>
      </c>
      <c r="AR196" s="119" t="s">
        <v>124</v>
      </c>
      <c r="AS196" s="119" t="s">
        <v>123</v>
      </c>
      <c r="AT196" s="8"/>
      <c r="AU196" s="8">
        <f t="shared" si="15"/>
        <v>16</v>
      </c>
      <c r="AV196" s="8">
        <f t="shared" si="16"/>
        <v>64</v>
      </c>
      <c r="AW196" s="8">
        <f t="shared" si="17"/>
        <v>2</v>
      </c>
      <c r="AX196" s="8">
        <f t="shared" si="18"/>
        <v>8</v>
      </c>
      <c r="AY196" s="8">
        <f t="shared" si="19"/>
        <v>512</v>
      </c>
      <c r="AZ196" s="8">
        <f t="shared" si="20"/>
        <v>32</v>
      </c>
      <c r="BA196" s="8">
        <f t="shared" si="21"/>
        <v>2048</v>
      </c>
      <c r="BB196" s="8">
        <f t="shared" si="22"/>
        <v>1024</v>
      </c>
      <c r="BC196" s="8">
        <f t="shared" si="23"/>
        <v>3706</v>
      </c>
      <c r="BD196" s="8"/>
      <c r="BE196" s="8"/>
      <c r="BF196" s="8"/>
      <c r="BG196" s="8"/>
      <c r="BH196" s="8"/>
    </row>
    <row r="197" spans="2:60">
      <c r="B197" s="11"/>
      <c r="C197" s="12"/>
      <c r="D197" s="8"/>
      <c r="E197" s="13"/>
      <c r="F197" s="14"/>
      <c r="G197" s="13"/>
      <c r="H197" s="15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2">
        <v>3450</v>
      </c>
      <c r="AK197" s="118">
        <v>73</v>
      </c>
      <c r="AL197" s="119" t="s">
        <v>117</v>
      </c>
      <c r="AM197" s="119" t="s">
        <v>119</v>
      </c>
      <c r="AN197" s="119" t="s">
        <v>114</v>
      </c>
      <c r="AO197" s="119" t="s">
        <v>116</v>
      </c>
      <c r="AP197" s="119" t="s">
        <v>121</v>
      </c>
      <c r="AQ197" s="119" t="s">
        <v>118</v>
      </c>
      <c r="AR197" s="119" t="s">
        <v>124</v>
      </c>
      <c r="AS197" s="119" t="s">
        <v>123</v>
      </c>
      <c r="AT197" s="8"/>
      <c r="AU197" s="8">
        <f t="shared" si="15"/>
        <v>16</v>
      </c>
      <c r="AV197" s="8">
        <f t="shared" si="16"/>
        <v>64</v>
      </c>
      <c r="AW197" s="8">
        <f t="shared" si="17"/>
        <v>2</v>
      </c>
      <c r="AX197" s="8">
        <f t="shared" si="18"/>
        <v>8</v>
      </c>
      <c r="AY197" s="8">
        <f t="shared" si="19"/>
        <v>256</v>
      </c>
      <c r="AZ197" s="8">
        <f t="shared" si="20"/>
        <v>32</v>
      </c>
      <c r="BA197" s="8">
        <f t="shared" si="21"/>
        <v>2048</v>
      </c>
      <c r="BB197" s="8">
        <f t="shared" si="22"/>
        <v>1024</v>
      </c>
      <c r="BC197" s="8">
        <f t="shared" si="23"/>
        <v>3450</v>
      </c>
      <c r="BD197" s="8"/>
      <c r="BE197" s="8"/>
      <c r="BF197" s="8"/>
      <c r="BG197" s="8"/>
      <c r="BH197" s="8"/>
    </row>
    <row r="198" spans="2:60">
      <c r="B198" s="11"/>
      <c r="C198" s="12"/>
      <c r="D198" s="8"/>
      <c r="E198" s="13"/>
      <c r="F198" s="14"/>
      <c r="G198" s="13"/>
      <c r="H198" s="15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2">
        <v>2938</v>
      </c>
      <c r="AK198" s="118">
        <v>74</v>
      </c>
      <c r="AL198" s="119" t="s">
        <v>117</v>
      </c>
      <c r="AM198" s="119" t="s">
        <v>119</v>
      </c>
      <c r="AN198" s="119" t="s">
        <v>114</v>
      </c>
      <c r="AO198" s="119" t="s">
        <v>116</v>
      </c>
      <c r="AP198" s="119" t="s">
        <v>122</v>
      </c>
      <c r="AQ198" s="119" t="s">
        <v>118</v>
      </c>
      <c r="AR198" s="119" t="s">
        <v>124</v>
      </c>
      <c r="AS198" s="119" t="s">
        <v>121</v>
      </c>
      <c r="AT198" s="8"/>
      <c r="AU198" s="8">
        <f t="shared" si="15"/>
        <v>16</v>
      </c>
      <c r="AV198" s="8">
        <f t="shared" si="16"/>
        <v>64</v>
      </c>
      <c r="AW198" s="8">
        <f t="shared" si="17"/>
        <v>2</v>
      </c>
      <c r="AX198" s="8">
        <f t="shared" si="18"/>
        <v>8</v>
      </c>
      <c r="AY198" s="8">
        <f t="shared" si="19"/>
        <v>512</v>
      </c>
      <c r="AZ198" s="8">
        <f t="shared" si="20"/>
        <v>32</v>
      </c>
      <c r="BA198" s="8">
        <f t="shared" si="21"/>
        <v>2048</v>
      </c>
      <c r="BB198" s="8">
        <f t="shared" si="22"/>
        <v>256</v>
      </c>
      <c r="BC198" s="8">
        <f t="shared" si="23"/>
        <v>2938</v>
      </c>
      <c r="BD198" s="8"/>
      <c r="BE198" s="8"/>
      <c r="BF198" s="8"/>
      <c r="BG198" s="8"/>
      <c r="BH198" s="8"/>
    </row>
    <row r="199" spans="2:60">
      <c r="B199" s="11"/>
      <c r="C199" s="12"/>
      <c r="D199" s="8"/>
      <c r="E199" s="13"/>
      <c r="F199" s="14"/>
      <c r="G199" s="13"/>
      <c r="H199" s="15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2">
        <v>1914</v>
      </c>
      <c r="AK199" s="118">
        <v>75</v>
      </c>
      <c r="AL199" s="119" t="s">
        <v>117</v>
      </c>
      <c r="AM199" s="119" t="s">
        <v>119</v>
      </c>
      <c r="AN199" s="119" t="s">
        <v>114</v>
      </c>
      <c r="AO199" s="119" t="s">
        <v>116</v>
      </c>
      <c r="AP199" s="119" t="s">
        <v>122</v>
      </c>
      <c r="AQ199" s="119" t="s">
        <v>118</v>
      </c>
      <c r="AR199" s="119" t="s">
        <v>121</v>
      </c>
      <c r="AS199" s="119" t="s">
        <v>123</v>
      </c>
      <c r="AT199" s="8"/>
      <c r="AU199" s="8">
        <f t="shared" si="15"/>
        <v>16</v>
      </c>
      <c r="AV199" s="8">
        <f t="shared" si="16"/>
        <v>64</v>
      </c>
      <c r="AW199" s="8">
        <f t="shared" si="17"/>
        <v>2</v>
      </c>
      <c r="AX199" s="8">
        <f t="shared" si="18"/>
        <v>8</v>
      </c>
      <c r="AY199" s="8">
        <f t="shared" si="19"/>
        <v>512</v>
      </c>
      <c r="AZ199" s="8">
        <f t="shared" si="20"/>
        <v>32</v>
      </c>
      <c r="BA199" s="8">
        <f t="shared" si="21"/>
        <v>256</v>
      </c>
      <c r="BB199" s="8">
        <f t="shared" si="22"/>
        <v>1024</v>
      </c>
      <c r="BC199" s="8">
        <f t="shared" si="23"/>
        <v>1914</v>
      </c>
      <c r="BD199" s="8"/>
      <c r="BE199" s="8"/>
      <c r="BF199" s="8"/>
      <c r="BG199" s="8"/>
      <c r="BH199" s="8"/>
    </row>
    <row r="200" spans="2:60">
      <c r="B200" s="11"/>
      <c r="C200" s="12"/>
      <c r="D200" s="8"/>
      <c r="E200" s="13"/>
      <c r="F200" s="14"/>
      <c r="G200" s="13"/>
      <c r="H200" s="15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2">
        <v>3322</v>
      </c>
      <c r="AK200" s="118">
        <v>76</v>
      </c>
      <c r="AL200" s="119" t="s">
        <v>117</v>
      </c>
      <c r="AM200" s="119" t="s">
        <v>119</v>
      </c>
      <c r="AN200" s="119" t="s">
        <v>114</v>
      </c>
      <c r="AO200" s="119" t="s">
        <v>116</v>
      </c>
      <c r="AP200" s="119" t="s">
        <v>120</v>
      </c>
      <c r="AQ200" s="119" t="s">
        <v>118</v>
      </c>
      <c r="AR200" s="119" t="s">
        <v>124</v>
      </c>
      <c r="AS200" s="119" t="s">
        <v>123</v>
      </c>
      <c r="AT200" s="8"/>
      <c r="AU200" s="8">
        <f t="shared" si="15"/>
        <v>16</v>
      </c>
      <c r="AV200" s="8">
        <f t="shared" si="16"/>
        <v>64</v>
      </c>
      <c r="AW200" s="8">
        <f t="shared" si="17"/>
        <v>2</v>
      </c>
      <c r="AX200" s="8">
        <f t="shared" si="18"/>
        <v>8</v>
      </c>
      <c r="AY200" s="8">
        <f t="shared" si="19"/>
        <v>128</v>
      </c>
      <c r="AZ200" s="8">
        <f t="shared" si="20"/>
        <v>32</v>
      </c>
      <c r="BA200" s="8">
        <f t="shared" si="21"/>
        <v>2048</v>
      </c>
      <c r="BB200" s="8">
        <f t="shared" si="22"/>
        <v>1024</v>
      </c>
      <c r="BC200" s="8">
        <f t="shared" si="23"/>
        <v>3322</v>
      </c>
      <c r="BD200" s="8"/>
      <c r="BE200" s="8"/>
      <c r="BF200" s="8"/>
      <c r="BG200" s="8"/>
      <c r="BH200" s="8"/>
    </row>
    <row r="201" spans="2:60">
      <c r="B201" s="11"/>
      <c r="C201" s="12"/>
      <c r="D201" s="8"/>
      <c r="E201" s="13"/>
      <c r="F201" s="14"/>
      <c r="G201" s="13"/>
      <c r="H201" s="15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2">
        <v>2810</v>
      </c>
      <c r="AK201" s="118">
        <v>77</v>
      </c>
      <c r="AL201" s="119" t="s">
        <v>120</v>
      </c>
      <c r="AM201" s="119" t="s">
        <v>119</v>
      </c>
      <c r="AN201" s="119" t="s">
        <v>114</v>
      </c>
      <c r="AO201" s="119" t="s">
        <v>116</v>
      </c>
      <c r="AP201" s="119" t="s">
        <v>122</v>
      </c>
      <c r="AQ201" s="119" t="s">
        <v>118</v>
      </c>
      <c r="AR201" s="119" t="s">
        <v>124</v>
      </c>
      <c r="AS201" s="119" t="s">
        <v>117</v>
      </c>
      <c r="AT201" s="8"/>
      <c r="AU201" s="8">
        <f t="shared" si="15"/>
        <v>128</v>
      </c>
      <c r="AV201" s="8">
        <f t="shared" si="16"/>
        <v>64</v>
      </c>
      <c r="AW201" s="8">
        <f t="shared" si="17"/>
        <v>2</v>
      </c>
      <c r="AX201" s="8">
        <f t="shared" si="18"/>
        <v>8</v>
      </c>
      <c r="AY201" s="8">
        <f t="shared" si="19"/>
        <v>512</v>
      </c>
      <c r="AZ201" s="8">
        <f t="shared" si="20"/>
        <v>32</v>
      </c>
      <c r="BA201" s="8">
        <f t="shared" si="21"/>
        <v>2048</v>
      </c>
      <c r="BB201" s="8">
        <f t="shared" si="22"/>
        <v>16</v>
      </c>
      <c r="BC201" s="8">
        <f t="shared" si="23"/>
        <v>2810</v>
      </c>
      <c r="BD201" s="8"/>
      <c r="BE201" s="8"/>
      <c r="BF201" s="8"/>
      <c r="BG201" s="8"/>
      <c r="BH201" s="8"/>
    </row>
    <row r="202" spans="2:60">
      <c r="B202" s="11"/>
      <c r="C202" s="12"/>
      <c r="D202" s="8"/>
      <c r="E202" s="13"/>
      <c r="F202" s="14"/>
      <c r="G202" s="13"/>
      <c r="H202" s="15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2">
        <v>1786</v>
      </c>
      <c r="AK202" s="118">
        <v>78</v>
      </c>
      <c r="AL202" s="119" t="s">
        <v>120</v>
      </c>
      <c r="AM202" s="119" t="s">
        <v>119</v>
      </c>
      <c r="AN202" s="119" t="s">
        <v>114</v>
      </c>
      <c r="AO202" s="119" t="s">
        <v>116</v>
      </c>
      <c r="AP202" s="119" t="s">
        <v>122</v>
      </c>
      <c r="AQ202" s="119" t="s">
        <v>118</v>
      </c>
      <c r="AR202" s="119" t="s">
        <v>117</v>
      </c>
      <c r="AS202" s="119" t="s">
        <v>123</v>
      </c>
      <c r="AT202" s="8"/>
      <c r="AU202" s="8">
        <f t="shared" si="15"/>
        <v>128</v>
      </c>
      <c r="AV202" s="8">
        <f t="shared" si="16"/>
        <v>64</v>
      </c>
      <c r="AW202" s="8">
        <f t="shared" si="17"/>
        <v>2</v>
      </c>
      <c r="AX202" s="8">
        <f t="shared" si="18"/>
        <v>8</v>
      </c>
      <c r="AY202" s="8">
        <f t="shared" si="19"/>
        <v>512</v>
      </c>
      <c r="AZ202" s="8">
        <f t="shared" si="20"/>
        <v>32</v>
      </c>
      <c r="BA202" s="8">
        <f t="shared" si="21"/>
        <v>16</v>
      </c>
      <c r="BB202" s="8">
        <f t="shared" si="22"/>
        <v>1024</v>
      </c>
      <c r="BC202" s="8">
        <f t="shared" si="23"/>
        <v>1786</v>
      </c>
      <c r="BD202" s="8"/>
      <c r="BE202" s="8"/>
      <c r="BF202" s="8"/>
      <c r="BG202" s="8"/>
      <c r="BH202" s="8"/>
    </row>
    <row r="203" spans="2:60">
      <c r="B203" s="11"/>
      <c r="C203" s="12"/>
      <c r="D203" s="8"/>
      <c r="E203" s="13"/>
      <c r="F203" s="14"/>
      <c r="G203" s="13"/>
      <c r="H203" s="15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2">
        <v>2554</v>
      </c>
      <c r="AK203" s="118">
        <v>79</v>
      </c>
      <c r="AL203" s="119" t="s">
        <v>117</v>
      </c>
      <c r="AM203" s="119" t="s">
        <v>119</v>
      </c>
      <c r="AN203" s="119" t="s">
        <v>114</v>
      </c>
      <c r="AO203" s="119" t="s">
        <v>116</v>
      </c>
      <c r="AP203" s="119" t="s">
        <v>120</v>
      </c>
      <c r="AQ203" s="119" t="s">
        <v>118</v>
      </c>
      <c r="AR203" s="119" t="s">
        <v>124</v>
      </c>
      <c r="AS203" s="119" t="s">
        <v>121</v>
      </c>
      <c r="AT203" s="8"/>
      <c r="AU203" s="8">
        <f t="shared" si="15"/>
        <v>16</v>
      </c>
      <c r="AV203" s="8">
        <f t="shared" si="16"/>
        <v>64</v>
      </c>
      <c r="AW203" s="8">
        <f t="shared" si="17"/>
        <v>2</v>
      </c>
      <c r="AX203" s="8">
        <f t="shared" si="18"/>
        <v>8</v>
      </c>
      <c r="AY203" s="8">
        <f t="shared" si="19"/>
        <v>128</v>
      </c>
      <c r="AZ203" s="8">
        <f t="shared" si="20"/>
        <v>32</v>
      </c>
      <c r="BA203" s="8">
        <f t="shared" si="21"/>
        <v>2048</v>
      </c>
      <c r="BB203" s="8">
        <f t="shared" si="22"/>
        <v>256</v>
      </c>
      <c r="BC203" s="8">
        <f t="shared" si="23"/>
        <v>2554</v>
      </c>
      <c r="BD203" s="8"/>
      <c r="BE203" s="8"/>
      <c r="BF203" s="8"/>
      <c r="BG203" s="8"/>
      <c r="BH203" s="8"/>
    </row>
    <row r="204" spans="2:60">
      <c r="B204" s="11"/>
      <c r="C204" s="12"/>
      <c r="D204" s="8"/>
      <c r="E204" s="13"/>
      <c r="F204" s="14"/>
      <c r="G204" s="13"/>
      <c r="H204" s="15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2">
        <v>1530</v>
      </c>
      <c r="AK204" s="118">
        <v>80</v>
      </c>
      <c r="AL204" s="119" t="s">
        <v>117</v>
      </c>
      <c r="AM204" s="119" t="s">
        <v>119</v>
      </c>
      <c r="AN204" s="119" t="s">
        <v>114</v>
      </c>
      <c r="AO204" s="119" t="s">
        <v>116</v>
      </c>
      <c r="AP204" s="119" t="s">
        <v>120</v>
      </c>
      <c r="AQ204" s="119" t="s">
        <v>118</v>
      </c>
      <c r="AR204" s="119" t="s">
        <v>121</v>
      </c>
      <c r="AS204" s="119" t="s">
        <v>123</v>
      </c>
      <c r="AT204" s="8"/>
      <c r="AU204" s="8">
        <f t="shared" si="15"/>
        <v>16</v>
      </c>
      <c r="AV204" s="8">
        <f t="shared" si="16"/>
        <v>64</v>
      </c>
      <c r="AW204" s="8">
        <f t="shared" si="17"/>
        <v>2</v>
      </c>
      <c r="AX204" s="8">
        <f t="shared" si="18"/>
        <v>8</v>
      </c>
      <c r="AY204" s="8">
        <f t="shared" si="19"/>
        <v>128</v>
      </c>
      <c r="AZ204" s="8">
        <f t="shared" si="20"/>
        <v>32</v>
      </c>
      <c r="BA204" s="8">
        <f t="shared" si="21"/>
        <v>256</v>
      </c>
      <c r="BB204" s="8">
        <f t="shared" si="22"/>
        <v>1024</v>
      </c>
      <c r="BC204" s="8">
        <f t="shared" si="23"/>
        <v>1530</v>
      </c>
      <c r="BD204" s="8"/>
      <c r="BE204" s="8"/>
      <c r="BF204" s="8"/>
      <c r="BG204" s="8"/>
      <c r="BH204" s="8"/>
    </row>
    <row r="205" spans="2:60">
      <c r="B205" s="11"/>
      <c r="C205" s="12"/>
      <c r="D205" s="8"/>
      <c r="E205" s="13"/>
      <c r="F205" s="14"/>
      <c r="G205" s="13"/>
      <c r="H205" s="15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2">
        <v>1018</v>
      </c>
      <c r="AK205" s="118">
        <v>81</v>
      </c>
      <c r="AL205" s="119" t="s">
        <v>120</v>
      </c>
      <c r="AM205" s="119" t="s">
        <v>119</v>
      </c>
      <c r="AN205" s="119" t="s">
        <v>114</v>
      </c>
      <c r="AO205" s="119" t="s">
        <v>116</v>
      </c>
      <c r="AP205" s="119" t="s">
        <v>122</v>
      </c>
      <c r="AQ205" s="119" t="s">
        <v>118</v>
      </c>
      <c r="AR205" s="119" t="s">
        <v>117</v>
      </c>
      <c r="AS205" s="119" t="s">
        <v>121</v>
      </c>
      <c r="AT205" s="8"/>
      <c r="AU205" s="8">
        <f t="shared" si="15"/>
        <v>128</v>
      </c>
      <c r="AV205" s="8">
        <f t="shared" si="16"/>
        <v>64</v>
      </c>
      <c r="AW205" s="8">
        <f t="shared" si="17"/>
        <v>2</v>
      </c>
      <c r="AX205" s="8">
        <f t="shared" si="18"/>
        <v>8</v>
      </c>
      <c r="AY205" s="8">
        <f t="shared" si="19"/>
        <v>512</v>
      </c>
      <c r="AZ205" s="8">
        <f t="shared" si="20"/>
        <v>32</v>
      </c>
      <c r="BA205" s="8">
        <f t="shared" si="21"/>
        <v>16</v>
      </c>
      <c r="BB205" s="8">
        <f t="shared" si="22"/>
        <v>256</v>
      </c>
      <c r="BC205" s="8">
        <f t="shared" si="23"/>
        <v>1018</v>
      </c>
      <c r="BD205" s="8"/>
      <c r="BE205" s="8"/>
      <c r="BF205" s="8"/>
      <c r="BG205" s="8"/>
      <c r="BH205" s="8"/>
    </row>
    <row r="206" spans="2:60">
      <c r="B206" s="11"/>
      <c r="C206" s="12"/>
      <c r="D206" s="8"/>
      <c r="E206" s="13"/>
      <c r="F206" s="14"/>
      <c r="G206" s="13"/>
      <c r="H206" s="15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2">
        <v>4038</v>
      </c>
      <c r="AK206" s="118">
        <v>82</v>
      </c>
      <c r="AL206" s="119" t="s">
        <v>120</v>
      </c>
      <c r="AM206" s="119" t="s">
        <v>122</v>
      </c>
      <c r="AN206" s="119" t="s">
        <v>114</v>
      </c>
      <c r="AO206" s="119" t="s">
        <v>115</v>
      </c>
      <c r="AP206" s="119" t="s">
        <v>121</v>
      </c>
      <c r="AQ206" s="119" t="s">
        <v>119</v>
      </c>
      <c r="AR206" s="119" t="s">
        <v>124</v>
      </c>
      <c r="AS206" s="119" t="s">
        <v>123</v>
      </c>
      <c r="AT206" s="8"/>
      <c r="AU206" s="8">
        <f t="shared" si="15"/>
        <v>128</v>
      </c>
      <c r="AV206" s="8">
        <f t="shared" si="16"/>
        <v>512</v>
      </c>
      <c r="AW206" s="8">
        <f t="shared" si="17"/>
        <v>2</v>
      </c>
      <c r="AX206" s="8">
        <f t="shared" si="18"/>
        <v>4</v>
      </c>
      <c r="AY206" s="8">
        <f t="shared" si="19"/>
        <v>256</v>
      </c>
      <c r="AZ206" s="8">
        <f t="shared" si="20"/>
        <v>64</v>
      </c>
      <c r="BA206" s="8">
        <f t="shared" si="21"/>
        <v>2048</v>
      </c>
      <c r="BB206" s="8">
        <f t="shared" si="22"/>
        <v>1024</v>
      </c>
      <c r="BC206" s="8">
        <f t="shared" si="23"/>
        <v>4038</v>
      </c>
      <c r="BD206" s="8"/>
      <c r="BE206" s="8"/>
      <c r="BF206" s="8"/>
      <c r="BG206" s="8"/>
      <c r="BH206" s="8"/>
    </row>
    <row r="207" spans="2:60">
      <c r="B207" s="11"/>
      <c r="C207" s="12"/>
      <c r="D207" s="8"/>
      <c r="E207" s="13"/>
      <c r="F207" s="14"/>
      <c r="G207" s="13"/>
      <c r="H207" s="1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2">
        <v>4006</v>
      </c>
      <c r="AK207" s="118">
        <v>83</v>
      </c>
      <c r="AL207" s="119" t="s">
        <v>120</v>
      </c>
      <c r="AM207" s="119" t="s">
        <v>122</v>
      </c>
      <c r="AN207" s="119" t="s">
        <v>114</v>
      </c>
      <c r="AO207" s="119" t="s">
        <v>115</v>
      </c>
      <c r="AP207" s="119" t="s">
        <v>121</v>
      </c>
      <c r="AQ207" s="119" t="s">
        <v>118</v>
      </c>
      <c r="AR207" s="119" t="s">
        <v>124</v>
      </c>
      <c r="AS207" s="119" t="s">
        <v>123</v>
      </c>
      <c r="AT207" s="8"/>
      <c r="AU207" s="8">
        <f t="shared" si="15"/>
        <v>128</v>
      </c>
      <c r="AV207" s="8">
        <f t="shared" si="16"/>
        <v>512</v>
      </c>
      <c r="AW207" s="8">
        <f t="shared" si="17"/>
        <v>2</v>
      </c>
      <c r="AX207" s="8">
        <f t="shared" si="18"/>
        <v>4</v>
      </c>
      <c r="AY207" s="8">
        <f t="shared" si="19"/>
        <v>256</v>
      </c>
      <c r="AZ207" s="8">
        <f t="shared" si="20"/>
        <v>32</v>
      </c>
      <c r="BA207" s="8">
        <f t="shared" si="21"/>
        <v>2048</v>
      </c>
      <c r="BB207" s="8">
        <f t="shared" si="22"/>
        <v>1024</v>
      </c>
      <c r="BC207" s="8">
        <f t="shared" si="23"/>
        <v>4006</v>
      </c>
      <c r="BD207" s="8"/>
      <c r="BE207" s="8"/>
      <c r="BF207" s="8"/>
      <c r="BG207" s="8"/>
      <c r="BH207" s="8"/>
    </row>
    <row r="208" spans="2:60">
      <c r="B208" s="11"/>
      <c r="C208" s="12"/>
      <c r="D208" s="8"/>
      <c r="E208" s="13"/>
      <c r="F208" s="14"/>
      <c r="G208" s="13"/>
      <c r="H208" s="1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2">
        <v>3942</v>
      </c>
      <c r="AK208" s="118">
        <v>84</v>
      </c>
      <c r="AL208" s="119" t="s">
        <v>121</v>
      </c>
      <c r="AM208" s="119" t="s">
        <v>119</v>
      </c>
      <c r="AN208" s="119" t="s">
        <v>114</v>
      </c>
      <c r="AO208" s="119" t="s">
        <v>115</v>
      </c>
      <c r="AP208" s="119" t="s">
        <v>122</v>
      </c>
      <c r="AQ208" s="119" t="s">
        <v>118</v>
      </c>
      <c r="AR208" s="119" t="s">
        <v>124</v>
      </c>
      <c r="AS208" s="119" t="s">
        <v>123</v>
      </c>
      <c r="AT208" s="8"/>
      <c r="AU208" s="8">
        <f t="shared" si="15"/>
        <v>256</v>
      </c>
      <c r="AV208" s="8">
        <f t="shared" si="16"/>
        <v>64</v>
      </c>
      <c r="AW208" s="8">
        <f t="shared" si="17"/>
        <v>2</v>
      </c>
      <c r="AX208" s="8">
        <f t="shared" si="18"/>
        <v>4</v>
      </c>
      <c r="AY208" s="8">
        <f t="shared" si="19"/>
        <v>512</v>
      </c>
      <c r="AZ208" s="8">
        <f t="shared" si="20"/>
        <v>32</v>
      </c>
      <c r="BA208" s="8">
        <f t="shared" si="21"/>
        <v>2048</v>
      </c>
      <c r="BB208" s="8">
        <f t="shared" si="22"/>
        <v>1024</v>
      </c>
      <c r="BC208" s="8">
        <f t="shared" si="23"/>
        <v>3942</v>
      </c>
      <c r="BD208" s="8"/>
      <c r="BE208" s="8"/>
      <c r="BF208" s="8"/>
      <c r="BG208" s="8"/>
      <c r="BH208" s="8"/>
    </row>
    <row r="209" spans="2:60">
      <c r="B209" s="11"/>
      <c r="C209" s="12"/>
      <c r="D209" s="8"/>
      <c r="E209" s="13"/>
      <c r="F209" s="14"/>
      <c r="G209" s="13"/>
      <c r="H209" s="1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2">
        <v>3814</v>
      </c>
      <c r="AK209" s="118">
        <v>85</v>
      </c>
      <c r="AL209" s="119" t="s">
        <v>120</v>
      </c>
      <c r="AM209" s="119" t="s">
        <v>119</v>
      </c>
      <c r="AN209" s="119" t="s">
        <v>114</v>
      </c>
      <c r="AO209" s="119" t="s">
        <v>115</v>
      </c>
      <c r="AP209" s="119" t="s">
        <v>122</v>
      </c>
      <c r="AQ209" s="119" t="s">
        <v>118</v>
      </c>
      <c r="AR209" s="119" t="s">
        <v>124</v>
      </c>
      <c r="AS209" s="119" t="s">
        <v>123</v>
      </c>
      <c r="AT209" s="8"/>
      <c r="AU209" s="8">
        <f t="shared" si="15"/>
        <v>128</v>
      </c>
      <c r="AV209" s="8">
        <f t="shared" si="16"/>
        <v>64</v>
      </c>
      <c r="AW209" s="8">
        <f t="shared" si="17"/>
        <v>2</v>
      </c>
      <c r="AX209" s="8">
        <f t="shared" si="18"/>
        <v>4</v>
      </c>
      <c r="AY209" s="8">
        <f t="shared" si="19"/>
        <v>512</v>
      </c>
      <c r="AZ209" s="8">
        <f t="shared" si="20"/>
        <v>32</v>
      </c>
      <c r="BA209" s="8">
        <f t="shared" si="21"/>
        <v>2048</v>
      </c>
      <c r="BB209" s="8">
        <f t="shared" si="22"/>
        <v>1024</v>
      </c>
      <c r="BC209" s="8">
        <f t="shared" si="23"/>
        <v>3814</v>
      </c>
      <c r="BD209" s="8"/>
      <c r="BE209" s="8"/>
      <c r="BF209" s="8"/>
      <c r="BG209" s="8"/>
      <c r="BH209" s="8"/>
    </row>
    <row r="210" spans="2:60">
      <c r="B210" s="11"/>
      <c r="C210" s="12"/>
      <c r="D210" s="8"/>
      <c r="E210" s="13"/>
      <c r="F210" s="14"/>
      <c r="G210" s="13"/>
      <c r="H210" s="15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2">
        <v>3558</v>
      </c>
      <c r="AK210" s="118">
        <v>86</v>
      </c>
      <c r="AL210" s="119" t="s">
        <v>120</v>
      </c>
      <c r="AM210" s="119" t="s">
        <v>119</v>
      </c>
      <c r="AN210" s="119" t="s">
        <v>114</v>
      </c>
      <c r="AO210" s="119" t="s">
        <v>115</v>
      </c>
      <c r="AP210" s="119" t="s">
        <v>121</v>
      </c>
      <c r="AQ210" s="119" t="s">
        <v>118</v>
      </c>
      <c r="AR210" s="119" t="s">
        <v>124</v>
      </c>
      <c r="AS210" s="119" t="s">
        <v>123</v>
      </c>
      <c r="AT210" s="8"/>
      <c r="AU210" s="8">
        <f t="shared" si="15"/>
        <v>128</v>
      </c>
      <c r="AV210" s="8">
        <f t="shared" si="16"/>
        <v>64</v>
      </c>
      <c r="AW210" s="8">
        <f t="shared" si="17"/>
        <v>2</v>
      </c>
      <c r="AX210" s="8">
        <f t="shared" si="18"/>
        <v>4</v>
      </c>
      <c r="AY210" s="8">
        <f t="shared" si="19"/>
        <v>256</v>
      </c>
      <c r="AZ210" s="8">
        <f t="shared" si="20"/>
        <v>32</v>
      </c>
      <c r="BA210" s="8">
        <f t="shared" si="21"/>
        <v>2048</v>
      </c>
      <c r="BB210" s="8">
        <f t="shared" si="22"/>
        <v>1024</v>
      </c>
      <c r="BC210" s="8">
        <f t="shared" si="23"/>
        <v>3558</v>
      </c>
      <c r="BD210" s="8"/>
      <c r="BE210" s="8"/>
      <c r="BF210" s="8"/>
      <c r="BG210" s="8"/>
      <c r="BH210" s="8"/>
    </row>
    <row r="211" spans="2:60">
      <c r="B211" s="11"/>
      <c r="C211" s="12"/>
      <c r="D211" s="8"/>
      <c r="E211" s="13"/>
      <c r="F211" s="14"/>
      <c r="G211" s="13"/>
      <c r="H211" s="15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2">
        <v>3046</v>
      </c>
      <c r="AK211" s="118">
        <v>87</v>
      </c>
      <c r="AL211" s="119" t="s">
        <v>120</v>
      </c>
      <c r="AM211" s="119" t="s">
        <v>119</v>
      </c>
      <c r="AN211" s="119" t="s">
        <v>114</v>
      </c>
      <c r="AO211" s="119" t="s">
        <v>115</v>
      </c>
      <c r="AP211" s="119" t="s">
        <v>122</v>
      </c>
      <c r="AQ211" s="119" t="s">
        <v>118</v>
      </c>
      <c r="AR211" s="119" t="s">
        <v>124</v>
      </c>
      <c r="AS211" s="119" t="s">
        <v>121</v>
      </c>
      <c r="AT211" s="8"/>
      <c r="AU211" s="8">
        <f t="shared" si="15"/>
        <v>128</v>
      </c>
      <c r="AV211" s="8">
        <f t="shared" si="16"/>
        <v>64</v>
      </c>
      <c r="AW211" s="8">
        <f t="shared" si="17"/>
        <v>2</v>
      </c>
      <c r="AX211" s="8">
        <f t="shared" si="18"/>
        <v>4</v>
      </c>
      <c r="AY211" s="8">
        <f t="shared" si="19"/>
        <v>512</v>
      </c>
      <c r="AZ211" s="8">
        <f t="shared" si="20"/>
        <v>32</v>
      </c>
      <c r="BA211" s="8">
        <f t="shared" si="21"/>
        <v>2048</v>
      </c>
      <c r="BB211" s="8">
        <f t="shared" si="22"/>
        <v>256</v>
      </c>
      <c r="BC211" s="8">
        <f t="shared" si="23"/>
        <v>3046</v>
      </c>
      <c r="BD211" s="8"/>
      <c r="BE211" s="8"/>
      <c r="BF211" s="8"/>
      <c r="BG211" s="8"/>
      <c r="BH211" s="8"/>
    </row>
    <row r="212" spans="2:60">
      <c r="B212" s="11"/>
      <c r="C212" s="12"/>
      <c r="D212" s="8"/>
      <c r="E212" s="13"/>
      <c r="F212" s="14"/>
      <c r="G212" s="13"/>
      <c r="H212" s="15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2">
        <v>2022</v>
      </c>
      <c r="AK212" s="118">
        <v>88</v>
      </c>
      <c r="AL212" s="119" t="s">
        <v>120</v>
      </c>
      <c r="AM212" s="119" t="s">
        <v>119</v>
      </c>
      <c r="AN212" s="119" t="s">
        <v>114</v>
      </c>
      <c r="AO212" s="119" t="s">
        <v>115</v>
      </c>
      <c r="AP212" s="119" t="s">
        <v>122</v>
      </c>
      <c r="AQ212" s="119" t="s">
        <v>118</v>
      </c>
      <c r="AR212" s="119" t="s">
        <v>121</v>
      </c>
      <c r="AS212" s="119" t="s">
        <v>123</v>
      </c>
      <c r="AT212" s="8"/>
      <c r="AU212" s="8">
        <f t="shared" si="15"/>
        <v>128</v>
      </c>
      <c r="AV212" s="8">
        <f t="shared" si="16"/>
        <v>64</v>
      </c>
      <c r="AW212" s="8">
        <f t="shared" si="17"/>
        <v>2</v>
      </c>
      <c r="AX212" s="8">
        <f t="shared" si="18"/>
        <v>4</v>
      </c>
      <c r="AY212" s="8">
        <f t="shared" si="19"/>
        <v>512</v>
      </c>
      <c r="AZ212" s="8">
        <f t="shared" si="20"/>
        <v>32</v>
      </c>
      <c r="BA212" s="8">
        <f t="shared" si="21"/>
        <v>256</v>
      </c>
      <c r="BB212" s="8">
        <f t="shared" si="22"/>
        <v>1024</v>
      </c>
      <c r="BC212" s="8">
        <f t="shared" si="23"/>
        <v>2022</v>
      </c>
      <c r="BD212" s="8"/>
      <c r="BE212" s="8"/>
      <c r="BF212" s="8"/>
      <c r="BG212" s="8"/>
      <c r="BH212" s="8"/>
    </row>
    <row r="213" spans="2:60">
      <c r="B213" s="11"/>
      <c r="C213" s="12"/>
      <c r="D213" s="8"/>
      <c r="E213" s="13"/>
      <c r="F213" s="14"/>
      <c r="G213" s="13"/>
      <c r="H213" s="1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2">
        <v>3990</v>
      </c>
      <c r="AK213" s="118">
        <v>89</v>
      </c>
      <c r="AL213" s="119" t="s">
        <v>117</v>
      </c>
      <c r="AM213" s="119" t="s">
        <v>122</v>
      </c>
      <c r="AN213" s="119" t="s">
        <v>114</v>
      </c>
      <c r="AO213" s="119" t="s">
        <v>115</v>
      </c>
      <c r="AP213" s="119" t="s">
        <v>121</v>
      </c>
      <c r="AQ213" s="119" t="s">
        <v>120</v>
      </c>
      <c r="AR213" s="119" t="s">
        <v>124</v>
      </c>
      <c r="AS213" s="119" t="s">
        <v>123</v>
      </c>
      <c r="AT213" s="8"/>
      <c r="AU213" s="8">
        <f t="shared" si="15"/>
        <v>16</v>
      </c>
      <c r="AV213" s="8">
        <f t="shared" si="16"/>
        <v>512</v>
      </c>
      <c r="AW213" s="8">
        <f t="shared" si="17"/>
        <v>2</v>
      </c>
      <c r="AX213" s="8">
        <f t="shared" si="18"/>
        <v>4</v>
      </c>
      <c r="AY213" s="8">
        <f t="shared" si="19"/>
        <v>256</v>
      </c>
      <c r="AZ213" s="8">
        <f t="shared" si="20"/>
        <v>128</v>
      </c>
      <c r="BA213" s="8">
        <f t="shared" si="21"/>
        <v>2048</v>
      </c>
      <c r="BB213" s="8">
        <f t="shared" si="22"/>
        <v>1024</v>
      </c>
      <c r="BC213" s="8">
        <f t="shared" si="23"/>
        <v>3990</v>
      </c>
      <c r="BD213" s="8"/>
      <c r="BE213" s="8"/>
      <c r="BF213" s="8"/>
      <c r="BG213" s="8"/>
      <c r="BH213" s="8"/>
    </row>
    <row r="214" spans="2:60">
      <c r="B214" s="11"/>
      <c r="C214" s="12"/>
      <c r="D214" s="8"/>
      <c r="E214" s="13"/>
      <c r="F214" s="14"/>
      <c r="G214" s="13"/>
      <c r="H214" s="1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2">
        <v>3926</v>
      </c>
      <c r="AK214" s="118">
        <v>90</v>
      </c>
      <c r="AL214" s="119" t="s">
        <v>117</v>
      </c>
      <c r="AM214" s="119" t="s">
        <v>122</v>
      </c>
      <c r="AN214" s="119" t="s">
        <v>114</v>
      </c>
      <c r="AO214" s="119" t="s">
        <v>115</v>
      </c>
      <c r="AP214" s="119" t="s">
        <v>121</v>
      </c>
      <c r="AQ214" s="119" t="s">
        <v>119</v>
      </c>
      <c r="AR214" s="119" t="s">
        <v>124</v>
      </c>
      <c r="AS214" s="119" t="s">
        <v>123</v>
      </c>
      <c r="AT214" s="8"/>
      <c r="AU214" s="8">
        <f t="shared" si="15"/>
        <v>16</v>
      </c>
      <c r="AV214" s="8">
        <f t="shared" si="16"/>
        <v>512</v>
      </c>
      <c r="AW214" s="8">
        <f t="shared" si="17"/>
        <v>2</v>
      </c>
      <c r="AX214" s="8">
        <f t="shared" si="18"/>
        <v>4</v>
      </c>
      <c r="AY214" s="8">
        <f t="shared" si="19"/>
        <v>256</v>
      </c>
      <c r="AZ214" s="8">
        <f t="shared" si="20"/>
        <v>64</v>
      </c>
      <c r="BA214" s="8">
        <f t="shared" si="21"/>
        <v>2048</v>
      </c>
      <c r="BB214" s="8">
        <f t="shared" si="22"/>
        <v>1024</v>
      </c>
      <c r="BC214" s="8">
        <f t="shared" si="23"/>
        <v>3926</v>
      </c>
      <c r="BD214" s="8"/>
      <c r="BE214" s="8"/>
      <c r="BF214" s="8"/>
      <c r="BG214" s="8"/>
      <c r="BH214" s="8"/>
    </row>
    <row r="215" spans="2:60">
      <c r="B215" s="11"/>
      <c r="C215" s="12"/>
      <c r="D215" s="8"/>
      <c r="E215" s="13"/>
      <c r="F215" s="14"/>
      <c r="G215" s="13"/>
      <c r="H215" s="1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2">
        <v>3798</v>
      </c>
      <c r="AK215" s="118">
        <v>91</v>
      </c>
      <c r="AL215" s="119" t="s">
        <v>117</v>
      </c>
      <c r="AM215" s="119" t="s">
        <v>122</v>
      </c>
      <c r="AN215" s="119" t="s">
        <v>114</v>
      </c>
      <c r="AO215" s="119" t="s">
        <v>115</v>
      </c>
      <c r="AP215" s="119" t="s">
        <v>120</v>
      </c>
      <c r="AQ215" s="119" t="s">
        <v>119</v>
      </c>
      <c r="AR215" s="119" t="s">
        <v>124</v>
      </c>
      <c r="AS215" s="119" t="s">
        <v>123</v>
      </c>
      <c r="AT215" s="8"/>
      <c r="AU215" s="8">
        <f t="shared" si="15"/>
        <v>16</v>
      </c>
      <c r="AV215" s="8">
        <f t="shared" si="16"/>
        <v>512</v>
      </c>
      <c r="AW215" s="8">
        <f t="shared" si="17"/>
        <v>2</v>
      </c>
      <c r="AX215" s="8">
        <f t="shared" si="18"/>
        <v>4</v>
      </c>
      <c r="AY215" s="8">
        <f t="shared" si="19"/>
        <v>128</v>
      </c>
      <c r="AZ215" s="8">
        <f t="shared" si="20"/>
        <v>64</v>
      </c>
      <c r="BA215" s="8">
        <f t="shared" si="21"/>
        <v>2048</v>
      </c>
      <c r="BB215" s="8">
        <f t="shared" si="22"/>
        <v>1024</v>
      </c>
      <c r="BC215" s="8">
        <f t="shared" si="23"/>
        <v>3798</v>
      </c>
      <c r="BD215" s="8"/>
      <c r="BE215" s="8"/>
      <c r="BF215" s="8"/>
      <c r="BG215" s="8"/>
      <c r="BH215" s="8"/>
    </row>
    <row r="216" spans="2:60">
      <c r="B216" s="11"/>
      <c r="C216" s="12"/>
      <c r="D216" s="8"/>
      <c r="E216" s="13"/>
      <c r="F216" s="14"/>
      <c r="G216" s="13"/>
      <c r="H216" s="1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2">
        <v>3542</v>
      </c>
      <c r="AK216" s="118">
        <v>92</v>
      </c>
      <c r="AL216" s="119" t="s">
        <v>117</v>
      </c>
      <c r="AM216" s="119" t="s">
        <v>119</v>
      </c>
      <c r="AN216" s="119" t="s">
        <v>114</v>
      </c>
      <c r="AO216" s="119" t="s">
        <v>115</v>
      </c>
      <c r="AP216" s="119" t="s">
        <v>121</v>
      </c>
      <c r="AQ216" s="119" t="s">
        <v>120</v>
      </c>
      <c r="AR216" s="119" t="s">
        <v>124</v>
      </c>
      <c r="AS216" s="119" t="s">
        <v>123</v>
      </c>
      <c r="AT216" s="8"/>
      <c r="AU216" s="8">
        <f t="shared" si="15"/>
        <v>16</v>
      </c>
      <c r="AV216" s="8">
        <f t="shared" si="16"/>
        <v>64</v>
      </c>
      <c r="AW216" s="8">
        <f t="shared" si="17"/>
        <v>2</v>
      </c>
      <c r="AX216" s="8">
        <f t="shared" si="18"/>
        <v>4</v>
      </c>
      <c r="AY216" s="8">
        <f t="shared" si="19"/>
        <v>256</v>
      </c>
      <c r="AZ216" s="8">
        <f t="shared" si="20"/>
        <v>128</v>
      </c>
      <c r="BA216" s="8">
        <f t="shared" si="21"/>
        <v>2048</v>
      </c>
      <c r="BB216" s="8">
        <f t="shared" si="22"/>
        <v>1024</v>
      </c>
      <c r="BC216" s="8">
        <f t="shared" si="23"/>
        <v>3542</v>
      </c>
      <c r="BD216" s="8"/>
      <c r="BE216" s="8"/>
      <c r="BF216" s="8"/>
      <c r="BG216" s="8"/>
      <c r="BH216" s="8"/>
    </row>
    <row r="217" spans="2:60">
      <c r="B217" s="11"/>
      <c r="C217" s="12"/>
      <c r="D217" s="8"/>
      <c r="E217" s="13"/>
      <c r="F217" s="14"/>
      <c r="G217" s="13"/>
      <c r="H217" s="1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2">
        <v>3030</v>
      </c>
      <c r="AK217" s="118">
        <v>93</v>
      </c>
      <c r="AL217" s="119" t="s">
        <v>117</v>
      </c>
      <c r="AM217" s="119" t="s">
        <v>122</v>
      </c>
      <c r="AN217" s="119" t="s">
        <v>114</v>
      </c>
      <c r="AO217" s="119" t="s">
        <v>115</v>
      </c>
      <c r="AP217" s="119" t="s">
        <v>120</v>
      </c>
      <c r="AQ217" s="119" t="s">
        <v>119</v>
      </c>
      <c r="AR217" s="119" t="s">
        <v>124</v>
      </c>
      <c r="AS217" s="119" t="s">
        <v>121</v>
      </c>
      <c r="AT217" s="8"/>
      <c r="AU217" s="8">
        <f t="shared" si="15"/>
        <v>16</v>
      </c>
      <c r="AV217" s="8">
        <f t="shared" si="16"/>
        <v>512</v>
      </c>
      <c r="AW217" s="8">
        <f t="shared" si="17"/>
        <v>2</v>
      </c>
      <c r="AX217" s="8">
        <f t="shared" si="18"/>
        <v>4</v>
      </c>
      <c r="AY217" s="8">
        <f t="shared" si="19"/>
        <v>128</v>
      </c>
      <c r="AZ217" s="8">
        <f t="shared" si="20"/>
        <v>64</v>
      </c>
      <c r="BA217" s="8">
        <f t="shared" si="21"/>
        <v>2048</v>
      </c>
      <c r="BB217" s="8">
        <f t="shared" si="22"/>
        <v>256</v>
      </c>
      <c r="BC217" s="8">
        <f t="shared" si="23"/>
        <v>3030</v>
      </c>
      <c r="BD217" s="8"/>
      <c r="BE217" s="8"/>
      <c r="BF217" s="8"/>
      <c r="BG217" s="8"/>
      <c r="BH217" s="8"/>
    </row>
    <row r="218" spans="2:60">
      <c r="B218" s="11"/>
      <c r="C218" s="12"/>
      <c r="D218" s="8"/>
      <c r="E218" s="13"/>
      <c r="F218" s="14"/>
      <c r="G218" s="13"/>
      <c r="H218" s="1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2">
        <v>2006</v>
      </c>
      <c r="AK218" s="118">
        <v>94</v>
      </c>
      <c r="AL218" s="119" t="s">
        <v>117</v>
      </c>
      <c r="AM218" s="119" t="s">
        <v>122</v>
      </c>
      <c r="AN218" s="119" t="s">
        <v>114</v>
      </c>
      <c r="AO218" s="119" t="s">
        <v>115</v>
      </c>
      <c r="AP218" s="119" t="s">
        <v>120</v>
      </c>
      <c r="AQ218" s="119" t="s">
        <v>119</v>
      </c>
      <c r="AR218" s="119" t="s">
        <v>121</v>
      </c>
      <c r="AS218" s="119" t="s">
        <v>123</v>
      </c>
      <c r="AT218" s="8"/>
      <c r="AU218" s="8">
        <f t="shared" si="15"/>
        <v>16</v>
      </c>
      <c r="AV218" s="8">
        <f t="shared" si="16"/>
        <v>512</v>
      </c>
      <c r="AW218" s="8">
        <f t="shared" si="17"/>
        <v>2</v>
      </c>
      <c r="AX218" s="8">
        <f t="shared" si="18"/>
        <v>4</v>
      </c>
      <c r="AY218" s="8">
        <f t="shared" si="19"/>
        <v>128</v>
      </c>
      <c r="AZ218" s="8">
        <f t="shared" si="20"/>
        <v>64</v>
      </c>
      <c r="BA218" s="8">
        <f t="shared" si="21"/>
        <v>256</v>
      </c>
      <c r="BB218" s="8">
        <f t="shared" si="22"/>
        <v>1024</v>
      </c>
      <c r="BC218" s="8">
        <f t="shared" si="23"/>
        <v>2006</v>
      </c>
      <c r="BD218" s="8"/>
      <c r="BE218" s="8"/>
      <c r="BF218" s="8"/>
      <c r="BG218" s="8"/>
      <c r="BH218" s="8"/>
    </row>
    <row r="219" spans="2:60">
      <c r="B219" s="11"/>
      <c r="C219" s="12"/>
      <c r="D219" s="8"/>
      <c r="E219" s="13"/>
      <c r="F219" s="14"/>
      <c r="G219" s="13"/>
      <c r="H219" s="1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2">
        <v>3894</v>
      </c>
      <c r="AK219" s="118">
        <v>95</v>
      </c>
      <c r="AL219" s="119" t="s">
        <v>117</v>
      </c>
      <c r="AM219" s="119" t="s">
        <v>122</v>
      </c>
      <c r="AN219" s="119" t="s">
        <v>114</v>
      </c>
      <c r="AO219" s="119" t="s">
        <v>115</v>
      </c>
      <c r="AP219" s="119" t="s">
        <v>121</v>
      </c>
      <c r="AQ219" s="119" t="s">
        <v>118</v>
      </c>
      <c r="AR219" s="119" t="s">
        <v>124</v>
      </c>
      <c r="AS219" s="119" t="s">
        <v>123</v>
      </c>
      <c r="AT219" s="8"/>
      <c r="AU219" s="8">
        <f t="shared" si="15"/>
        <v>16</v>
      </c>
      <c r="AV219" s="8">
        <f t="shared" si="16"/>
        <v>512</v>
      </c>
      <c r="AW219" s="8">
        <f t="shared" si="17"/>
        <v>2</v>
      </c>
      <c r="AX219" s="8">
        <f t="shared" si="18"/>
        <v>4</v>
      </c>
      <c r="AY219" s="8">
        <f t="shared" si="19"/>
        <v>256</v>
      </c>
      <c r="AZ219" s="8">
        <f t="shared" si="20"/>
        <v>32</v>
      </c>
      <c r="BA219" s="8">
        <f t="shared" si="21"/>
        <v>2048</v>
      </c>
      <c r="BB219" s="8">
        <f t="shared" si="22"/>
        <v>1024</v>
      </c>
      <c r="BC219" s="8">
        <f t="shared" si="23"/>
        <v>3894</v>
      </c>
      <c r="BD219" s="8"/>
      <c r="BE219" s="8"/>
      <c r="BF219" s="8"/>
      <c r="BG219" s="8"/>
      <c r="BH219" s="8"/>
    </row>
    <row r="220" spans="2:60">
      <c r="B220" s="11"/>
      <c r="C220" s="12"/>
      <c r="D220" s="8"/>
      <c r="E220" s="13"/>
      <c r="F220" s="14"/>
      <c r="G220" s="13"/>
      <c r="H220" s="1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2">
        <v>3766</v>
      </c>
      <c r="AK220" s="118">
        <v>96</v>
      </c>
      <c r="AL220" s="119" t="s">
        <v>117</v>
      </c>
      <c r="AM220" s="119" t="s">
        <v>122</v>
      </c>
      <c r="AN220" s="119" t="s">
        <v>114</v>
      </c>
      <c r="AO220" s="119" t="s">
        <v>115</v>
      </c>
      <c r="AP220" s="119" t="s">
        <v>120</v>
      </c>
      <c r="AQ220" s="119" t="s">
        <v>118</v>
      </c>
      <c r="AR220" s="119" t="s">
        <v>124</v>
      </c>
      <c r="AS220" s="119" t="s">
        <v>123</v>
      </c>
      <c r="AT220" s="8"/>
      <c r="AU220" s="8">
        <f t="shared" si="15"/>
        <v>16</v>
      </c>
      <c r="AV220" s="8">
        <f t="shared" si="16"/>
        <v>512</v>
      </c>
      <c r="AW220" s="8">
        <f t="shared" si="17"/>
        <v>2</v>
      </c>
      <c r="AX220" s="8">
        <f t="shared" si="18"/>
        <v>4</v>
      </c>
      <c r="AY220" s="8">
        <f t="shared" si="19"/>
        <v>128</v>
      </c>
      <c r="AZ220" s="8">
        <f t="shared" si="20"/>
        <v>32</v>
      </c>
      <c r="BA220" s="8">
        <f t="shared" si="21"/>
        <v>2048</v>
      </c>
      <c r="BB220" s="8">
        <f t="shared" si="22"/>
        <v>1024</v>
      </c>
      <c r="BC220" s="8">
        <f t="shared" si="23"/>
        <v>3766</v>
      </c>
      <c r="BD220" s="8"/>
      <c r="BE220" s="8"/>
      <c r="BF220" s="8"/>
      <c r="BG220" s="8"/>
      <c r="BH220" s="8"/>
    </row>
    <row r="221" spans="2:60">
      <c r="B221" s="11"/>
      <c r="C221" s="12"/>
      <c r="D221" s="8"/>
      <c r="E221" s="13"/>
      <c r="F221" s="14"/>
      <c r="G221" s="13"/>
      <c r="H221" s="1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2">
        <v>3510</v>
      </c>
      <c r="AK221" s="118">
        <v>97</v>
      </c>
      <c r="AL221" s="119" t="s">
        <v>117</v>
      </c>
      <c r="AM221" s="119" t="s">
        <v>121</v>
      </c>
      <c r="AN221" s="119" t="s">
        <v>114</v>
      </c>
      <c r="AO221" s="119" t="s">
        <v>115</v>
      </c>
      <c r="AP221" s="119" t="s">
        <v>120</v>
      </c>
      <c r="AQ221" s="119" t="s">
        <v>118</v>
      </c>
      <c r="AR221" s="119" t="s">
        <v>124</v>
      </c>
      <c r="AS221" s="119" t="s">
        <v>123</v>
      </c>
      <c r="AT221" s="8"/>
      <c r="AU221" s="8">
        <f t="shared" si="15"/>
        <v>16</v>
      </c>
      <c r="AV221" s="8">
        <f t="shared" si="16"/>
        <v>256</v>
      </c>
      <c r="AW221" s="8">
        <f t="shared" si="17"/>
        <v>2</v>
      </c>
      <c r="AX221" s="8">
        <f t="shared" si="18"/>
        <v>4</v>
      </c>
      <c r="AY221" s="8">
        <f t="shared" si="19"/>
        <v>128</v>
      </c>
      <c r="AZ221" s="8">
        <f t="shared" si="20"/>
        <v>32</v>
      </c>
      <c r="BA221" s="8">
        <f t="shared" si="21"/>
        <v>2048</v>
      </c>
      <c r="BB221" s="8">
        <f t="shared" si="22"/>
        <v>1024</v>
      </c>
      <c r="BC221" s="8">
        <f t="shared" si="23"/>
        <v>3510</v>
      </c>
      <c r="BD221" s="8"/>
      <c r="BE221" s="8"/>
      <c r="BF221" s="8"/>
      <c r="BG221" s="8"/>
      <c r="BH221" s="8"/>
    </row>
    <row r="222" spans="2:60">
      <c r="B222" s="11"/>
      <c r="C222" s="12"/>
      <c r="D222" s="8"/>
      <c r="E222" s="13"/>
      <c r="F222" s="14"/>
      <c r="G222" s="13"/>
      <c r="H222" s="1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2">
        <v>2998</v>
      </c>
      <c r="AK222" s="118">
        <v>98</v>
      </c>
      <c r="AL222" s="119" t="s">
        <v>117</v>
      </c>
      <c r="AM222" s="119" t="s">
        <v>122</v>
      </c>
      <c r="AN222" s="119" t="s">
        <v>114</v>
      </c>
      <c r="AO222" s="119" t="s">
        <v>115</v>
      </c>
      <c r="AP222" s="119" t="s">
        <v>120</v>
      </c>
      <c r="AQ222" s="119" t="s">
        <v>118</v>
      </c>
      <c r="AR222" s="119" t="s">
        <v>124</v>
      </c>
      <c r="AS222" s="119" t="s">
        <v>121</v>
      </c>
      <c r="AT222" s="8"/>
      <c r="AU222" s="8">
        <f t="shared" si="15"/>
        <v>16</v>
      </c>
      <c r="AV222" s="8">
        <f t="shared" si="16"/>
        <v>512</v>
      </c>
      <c r="AW222" s="8">
        <f t="shared" si="17"/>
        <v>2</v>
      </c>
      <c r="AX222" s="8">
        <f t="shared" si="18"/>
        <v>4</v>
      </c>
      <c r="AY222" s="8">
        <f t="shared" si="19"/>
        <v>128</v>
      </c>
      <c r="AZ222" s="8">
        <f t="shared" si="20"/>
        <v>32</v>
      </c>
      <c r="BA222" s="8">
        <f t="shared" si="21"/>
        <v>2048</v>
      </c>
      <c r="BB222" s="8">
        <f t="shared" si="22"/>
        <v>256</v>
      </c>
      <c r="BC222" s="8">
        <f t="shared" si="23"/>
        <v>2998</v>
      </c>
      <c r="BD222" s="8"/>
      <c r="BE222" s="8"/>
      <c r="BF222" s="8"/>
      <c r="BG222" s="8"/>
      <c r="BH222" s="8"/>
    </row>
    <row r="223" spans="2:60">
      <c r="B223" s="11"/>
      <c r="C223" s="12"/>
      <c r="D223" s="8"/>
      <c r="E223" s="13"/>
      <c r="F223" s="14"/>
      <c r="G223" s="13"/>
      <c r="H223" s="1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2">
        <v>1974</v>
      </c>
      <c r="AK223" s="118">
        <v>99</v>
      </c>
      <c r="AL223" s="119" t="s">
        <v>117</v>
      </c>
      <c r="AM223" s="119" t="s">
        <v>122</v>
      </c>
      <c r="AN223" s="119" t="s">
        <v>114</v>
      </c>
      <c r="AO223" s="119" t="s">
        <v>115</v>
      </c>
      <c r="AP223" s="119" t="s">
        <v>120</v>
      </c>
      <c r="AQ223" s="119" t="s">
        <v>118</v>
      </c>
      <c r="AR223" s="119" t="s">
        <v>121</v>
      </c>
      <c r="AS223" s="119" t="s">
        <v>123</v>
      </c>
      <c r="AT223" s="8"/>
      <c r="AU223" s="8">
        <f t="shared" si="15"/>
        <v>16</v>
      </c>
      <c r="AV223" s="8">
        <f t="shared" si="16"/>
        <v>512</v>
      </c>
      <c r="AW223" s="8">
        <f t="shared" si="17"/>
        <v>2</v>
      </c>
      <c r="AX223" s="8">
        <f t="shared" si="18"/>
        <v>4</v>
      </c>
      <c r="AY223" s="8">
        <f t="shared" si="19"/>
        <v>128</v>
      </c>
      <c r="AZ223" s="8">
        <f t="shared" si="20"/>
        <v>32</v>
      </c>
      <c r="BA223" s="8">
        <f t="shared" si="21"/>
        <v>256</v>
      </c>
      <c r="BB223" s="8">
        <f t="shared" si="22"/>
        <v>1024</v>
      </c>
      <c r="BC223" s="8">
        <f t="shared" si="23"/>
        <v>1974</v>
      </c>
      <c r="BD223" s="8"/>
      <c r="BE223" s="8"/>
      <c r="BF223" s="8"/>
      <c r="BG223" s="8"/>
      <c r="BH223" s="8"/>
    </row>
    <row r="224" spans="2:60">
      <c r="B224" s="11"/>
      <c r="C224" s="12"/>
      <c r="D224" s="8"/>
      <c r="E224" s="13"/>
      <c r="F224" s="14"/>
      <c r="G224" s="13"/>
      <c r="H224" s="1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2">
        <v>3702</v>
      </c>
      <c r="AK224" s="118">
        <v>100</v>
      </c>
      <c r="AL224" s="119" t="s">
        <v>117</v>
      </c>
      <c r="AM224" s="119" t="s">
        <v>119</v>
      </c>
      <c r="AN224" s="119" t="s">
        <v>114</v>
      </c>
      <c r="AO224" s="119" t="s">
        <v>115</v>
      </c>
      <c r="AP224" s="119" t="s">
        <v>122</v>
      </c>
      <c r="AQ224" s="119" t="s">
        <v>118</v>
      </c>
      <c r="AR224" s="119" t="s">
        <v>124</v>
      </c>
      <c r="AS224" s="119" t="s">
        <v>123</v>
      </c>
      <c r="AT224" s="8"/>
      <c r="AU224" s="8">
        <f t="shared" si="15"/>
        <v>16</v>
      </c>
      <c r="AV224" s="8">
        <f t="shared" si="16"/>
        <v>64</v>
      </c>
      <c r="AW224" s="8">
        <f t="shared" si="17"/>
        <v>2</v>
      </c>
      <c r="AX224" s="8">
        <f t="shared" si="18"/>
        <v>4</v>
      </c>
      <c r="AY224" s="8">
        <f t="shared" si="19"/>
        <v>512</v>
      </c>
      <c r="AZ224" s="8">
        <f t="shared" si="20"/>
        <v>32</v>
      </c>
      <c r="BA224" s="8">
        <f t="shared" si="21"/>
        <v>2048</v>
      </c>
      <c r="BB224" s="8">
        <f t="shared" si="22"/>
        <v>1024</v>
      </c>
      <c r="BC224" s="8">
        <f t="shared" si="23"/>
        <v>3702</v>
      </c>
      <c r="BD224" s="8"/>
      <c r="BE224" s="8"/>
      <c r="BF224" s="8"/>
      <c r="BG224" s="8"/>
      <c r="BH224" s="8"/>
    </row>
    <row r="225" spans="2:60">
      <c r="B225" s="11"/>
      <c r="C225" s="12"/>
      <c r="D225" s="8"/>
      <c r="E225" s="13"/>
      <c r="F225" s="14"/>
      <c r="G225" s="13"/>
      <c r="H225" s="15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2">
        <v>3446</v>
      </c>
      <c r="AK225" s="118">
        <v>101</v>
      </c>
      <c r="AL225" s="119" t="s">
        <v>117</v>
      </c>
      <c r="AM225" s="119" t="s">
        <v>119</v>
      </c>
      <c r="AN225" s="119" t="s">
        <v>114</v>
      </c>
      <c r="AO225" s="119" t="s">
        <v>115</v>
      </c>
      <c r="AP225" s="119" t="s">
        <v>121</v>
      </c>
      <c r="AQ225" s="119" t="s">
        <v>118</v>
      </c>
      <c r="AR225" s="119" t="s">
        <v>124</v>
      </c>
      <c r="AS225" s="119" t="s">
        <v>123</v>
      </c>
      <c r="AT225" s="8"/>
      <c r="AU225" s="8">
        <f t="shared" si="15"/>
        <v>16</v>
      </c>
      <c r="AV225" s="8">
        <f t="shared" si="16"/>
        <v>64</v>
      </c>
      <c r="AW225" s="8">
        <f t="shared" si="17"/>
        <v>2</v>
      </c>
      <c r="AX225" s="8">
        <f t="shared" si="18"/>
        <v>4</v>
      </c>
      <c r="AY225" s="8">
        <f t="shared" si="19"/>
        <v>256</v>
      </c>
      <c r="AZ225" s="8">
        <f t="shared" si="20"/>
        <v>32</v>
      </c>
      <c r="BA225" s="8">
        <f t="shared" si="21"/>
        <v>2048</v>
      </c>
      <c r="BB225" s="8">
        <f t="shared" si="22"/>
        <v>1024</v>
      </c>
      <c r="BC225" s="8">
        <f t="shared" si="23"/>
        <v>3446</v>
      </c>
      <c r="BD225" s="8"/>
      <c r="BE225" s="8"/>
      <c r="BF225" s="8"/>
      <c r="BG225" s="8"/>
      <c r="BH225" s="8"/>
    </row>
    <row r="226" spans="2:60">
      <c r="B226" s="11"/>
      <c r="C226" s="12"/>
      <c r="D226" s="8"/>
      <c r="E226" s="13"/>
      <c r="F226" s="14"/>
      <c r="G226" s="13"/>
      <c r="H226" s="1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2">
        <v>2934</v>
      </c>
      <c r="AK226" s="118">
        <v>102</v>
      </c>
      <c r="AL226" s="119" t="s">
        <v>117</v>
      </c>
      <c r="AM226" s="119" t="s">
        <v>119</v>
      </c>
      <c r="AN226" s="119" t="s">
        <v>114</v>
      </c>
      <c r="AO226" s="119" t="s">
        <v>115</v>
      </c>
      <c r="AP226" s="119" t="s">
        <v>122</v>
      </c>
      <c r="AQ226" s="119" t="s">
        <v>118</v>
      </c>
      <c r="AR226" s="119" t="s">
        <v>124</v>
      </c>
      <c r="AS226" s="119" t="s">
        <v>121</v>
      </c>
      <c r="AT226" s="8"/>
      <c r="AU226" s="8">
        <f t="shared" si="15"/>
        <v>16</v>
      </c>
      <c r="AV226" s="8">
        <f t="shared" si="16"/>
        <v>64</v>
      </c>
      <c r="AW226" s="8">
        <f t="shared" si="17"/>
        <v>2</v>
      </c>
      <c r="AX226" s="8">
        <f t="shared" si="18"/>
        <v>4</v>
      </c>
      <c r="AY226" s="8">
        <f t="shared" si="19"/>
        <v>512</v>
      </c>
      <c r="AZ226" s="8">
        <f t="shared" si="20"/>
        <v>32</v>
      </c>
      <c r="BA226" s="8">
        <f t="shared" si="21"/>
        <v>2048</v>
      </c>
      <c r="BB226" s="8">
        <f t="shared" si="22"/>
        <v>256</v>
      </c>
      <c r="BC226" s="8">
        <f t="shared" si="23"/>
        <v>2934</v>
      </c>
      <c r="BD226" s="8"/>
      <c r="BE226" s="8"/>
      <c r="BF226" s="8"/>
      <c r="BG226" s="8"/>
      <c r="BH226" s="8"/>
    </row>
    <row r="227" spans="2:60">
      <c r="B227" s="11"/>
      <c r="C227" s="12"/>
      <c r="D227" s="8"/>
      <c r="E227" s="13"/>
      <c r="F227" s="14"/>
      <c r="G227" s="13"/>
      <c r="H227" s="1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2">
        <v>1910</v>
      </c>
      <c r="AK227" s="118">
        <v>103</v>
      </c>
      <c r="AL227" s="119" t="s">
        <v>117</v>
      </c>
      <c r="AM227" s="119" t="s">
        <v>119</v>
      </c>
      <c r="AN227" s="119" t="s">
        <v>114</v>
      </c>
      <c r="AO227" s="119" t="s">
        <v>115</v>
      </c>
      <c r="AP227" s="119" t="s">
        <v>122</v>
      </c>
      <c r="AQ227" s="119" t="s">
        <v>118</v>
      </c>
      <c r="AR227" s="119" t="s">
        <v>121</v>
      </c>
      <c r="AS227" s="119" t="s">
        <v>123</v>
      </c>
      <c r="AT227" s="8"/>
      <c r="AU227" s="8">
        <f t="shared" si="15"/>
        <v>16</v>
      </c>
      <c r="AV227" s="8">
        <f t="shared" si="16"/>
        <v>64</v>
      </c>
      <c r="AW227" s="8">
        <f t="shared" si="17"/>
        <v>2</v>
      </c>
      <c r="AX227" s="8">
        <f t="shared" si="18"/>
        <v>4</v>
      </c>
      <c r="AY227" s="8">
        <f t="shared" si="19"/>
        <v>512</v>
      </c>
      <c r="AZ227" s="8">
        <f t="shared" si="20"/>
        <v>32</v>
      </c>
      <c r="BA227" s="8">
        <f t="shared" si="21"/>
        <v>256</v>
      </c>
      <c r="BB227" s="8">
        <f t="shared" si="22"/>
        <v>1024</v>
      </c>
      <c r="BC227" s="8">
        <f t="shared" si="23"/>
        <v>1910</v>
      </c>
      <c r="BD227" s="8"/>
      <c r="BE227" s="8"/>
      <c r="BF227" s="8"/>
      <c r="BG227" s="8"/>
      <c r="BH227" s="8"/>
    </row>
    <row r="228" spans="2:60">
      <c r="B228" s="11"/>
      <c r="C228" s="12"/>
      <c r="D228" s="8"/>
      <c r="E228" s="13"/>
      <c r="F228" s="14"/>
      <c r="G228" s="13"/>
      <c r="H228" s="15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2">
        <v>3318</v>
      </c>
      <c r="AK228" s="118">
        <v>104</v>
      </c>
      <c r="AL228" s="119" t="s">
        <v>117</v>
      </c>
      <c r="AM228" s="119" t="s">
        <v>119</v>
      </c>
      <c r="AN228" s="119" t="s">
        <v>114</v>
      </c>
      <c r="AO228" s="119" t="s">
        <v>115</v>
      </c>
      <c r="AP228" s="119" t="s">
        <v>120</v>
      </c>
      <c r="AQ228" s="119" t="s">
        <v>118</v>
      </c>
      <c r="AR228" s="119" t="s">
        <v>124</v>
      </c>
      <c r="AS228" s="119" t="s">
        <v>123</v>
      </c>
      <c r="AT228" s="8"/>
      <c r="AU228" s="8">
        <f t="shared" si="15"/>
        <v>16</v>
      </c>
      <c r="AV228" s="8">
        <f t="shared" si="16"/>
        <v>64</v>
      </c>
      <c r="AW228" s="8">
        <f t="shared" si="17"/>
        <v>2</v>
      </c>
      <c r="AX228" s="8">
        <f t="shared" si="18"/>
        <v>4</v>
      </c>
      <c r="AY228" s="8">
        <f t="shared" si="19"/>
        <v>128</v>
      </c>
      <c r="AZ228" s="8">
        <f t="shared" si="20"/>
        <v>32</v>
      </c>
      <c r="BA228" s="8">
        <f t="shared" si="21"/>
        <v>2048</v>
      </c>
      <c r="BB228" s="8">
        <f t="shared" si="22"/>
        <v>1024</v>
      </c>
      <c r="BC228" s="8">
        <f t="shared" si="23"/>
        <v>3318</v>
      </c>
      <c r="BD228" s="8"/>
      <c r="BE228" s="8"/>
      <c r="BF228" s="8"/>
      <c r="BG228" s="8"/>
      <c r="BH228" s="8"/>
    </row>
    <row r="229" spans="2:60">
      <c r="B229" s="11"/>
      <c r="C229" s="12"/>
      <c r="D229" s="8"/>
      <c r="E229" s="13"/>
      <c r="F229" s="14"/>
      <c r="G229" s="13"/>
      <c r="H229" s="1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2">
        <v>2806</v>
      </c>
      <c r="AK229" s="118">
        <v>105</v>
      </c>
      <c r="AL229" s="119" t="s">
        <v>120</v>
      </c>
      <c r="AM229" s="119" t="s">
        <v>119</v>
      </c>
      <c r="AN229" s="119" t="s">
        <v>114</v>
      </c>
      <c r="AO229" s="119" t="s">
        <v>115</v>
      </c>
      <c r="AP229" s="119" t="s">
        <v>122</v>
      </c>
      <c r="AQ229" s="119" t="s">
        <v>118</v>
      </c>
      <c r="AR229" s="119" t="s">
        <v>124</v>
      </c>
      <c r="AS229" s="119" t="s">
        <v>117</v>
      </c>
      <c r="AT229" s="8"/>
      <c r="AU229" s="8">
        <f t="shared" si="15"/>
        <v>128</v>
      </c>
      <c r="AV229" s="8">
        <f t="shared" si="16"/>
        <v>64</v>
      </c>
      <c r="AW229" s="8">
        <f t="shared" si="17"/>
        <v>2</v>
      </c>
      <c r="AX229" s="8">
        <f t="shared" si="18"/>
        <v>4</v>
      </c>
      <c r="AY229" s="8">
        <f t="shared" si="19"/>
        <v>512</v>
      </c>
      <c r="AZ229" s="8">
        <f t="shared" si="20"/>
        <v>32</v>
      </c>
      <c r="BA229" s="8">
        <f t="shared" si="21"/>
        <v>2048</v>
      </c>
      <c r="BB229" s="8">
        <f t="shared" si="22"/>
        <v>16</v>
      </c>
      <c r="BC229" s="8">
        <f t="shared" si="23"/>
        <v>2806</v>
      </c>
      <c r="BD229" s="8"/>
      <c r="BE229" s="8"/>
      <c r="BF229" s="8"/>
      <c r="BG229" s="8"/>
      <c r="BH229" s="8"/>
    </row>
    <row r="230" spans="2:60">
      <c r="B230" s="11"/>
      <c r="C230" s="12"/>
      <c r="D230" s="8"/>
      <c r="E230" s="13"/>
      <c r="F230" s="14"/>
      <c r="G230" s="13"/>
      <c r="H230" s="1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2">
        <v>1782</v>
      </c>
      <c r="AK230" s="118">
        <v>106</v>
      </c>
      <c r="AL230" s="119" t="s">
        <v>120</v>
      </c>
      <c r="AM230" s="119" t="s">
        <v>119</v>
      </c>
      <c r="AN230" s="119" t="s">
        <v>114</v>
      </c>
      <c r="AO230" s="119" t="s">
        <v>115</v>
      </c>
      <c r="AP230" s="119" t="s">
        <v>122</v>
      </c>
      <c r="AQ230" s="119" t="s">
        <v>118</v>
      </c>
      <c r="AR230" s="119" t="s">
        <v>117</v>
      </c>
      <c r="AS230" s="119" t="s">
        <v>123</v>
      </c>
      <c r="AT230" s="8"/>
      <c r="AU230" s="8">
        <f t="shared" si="15"/>
        <v>128</v>
      </c>
      <c r="AV230" s="8">
        <f t="shared" si="16"/>
        <v>64</v>
      </c>
      <c r="AW230" s="8">
        <f t="shared" si="17"/>
        <v>2</v>
      </c>
      <c r="AX230" s="8">
        <f t="shared" si="18"/>
        <v>4</v>
      </c>
      <c r="AY230" s="8">
        <f t="shared" si="19"/>
        <v>512</v>
      </c>
      <c r="AZ230" s="8">
        <f t="shared" si="20"/>
        <v>32</v>
      </c>
      <c r="BA230" s="8">
        <f t="shared" si="21"/>
        <v>16</v>
      </c>
      <c r="BB230" s="8">
        <f t="shared" si="22"/>
        <v>1024</v>
      </c>
      <c r="BC230" s="8">
        <f t="shared" si="23"/>
        <v>1782</v>
      </c>
      <c r="BD230" s="8"/>
      <c r="BE230" s="8"/>
      <c r="BF230" s="8"/>
      <c r="BG230" s="8"/>
      <c r="BH230" s="8"/>
    </row>
    <row r="231" spans="2:60">
      <c r="B231" s="11"/>
      <c r="C231" s="12"/>
      <c r="D231" s="8"/>
      <c r="E231" s="13"/>
      <c r="F231" s="14"/>
      <c r="G231" s="13"/>
      <c r="H231" s="15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2">
        <v>2550</v>
      </c>
      <c r="AK231" s="118">
        <v>107</v>
      </c>
      <c r="AL231" s="119" t="s">
        <v>117</v>
      </c>
      <c r="AM231" s="119" t="s">
        <v>119</v>
      </c>
      <c r="AN231" s="119" t="s">
        <v>114</v>
      </c>
      <c r="AO231" s="119" t="s">
        <v>115</v>
      </c>
      <c r="AP231" s="119" t="s">
        <v>120</v>
      </c>
      <c r="AQ231" s="119" t="s">
        <v>118</v>
      </c>
      <c r="AR231" s="119" t="s">
        <v>124</v>
      </c>
      <c r="AS231" s="119" t="s">
        <v>121</v>
      </c>
      <c r="AT231" s="8"/>
      <c r="AU231" s="8">
        <f t="shared" si="15"/>
        <v>16</v>
      </c>
      <c r="AV231" s="8">
        <f t="shared" si="16"/>
        <v>64</v>
      </c>
      <c r="AW231" s="8">
        <f t="shared" si="17"/>
        <v>2</v>
      </c>
      <c r="AX231" s="8">
        <f t="shared" si="18"/>
        <v>4</v>
      </c>
      <c r="AY231" s="8">
        <f t="shared" si="19"/>
        <v>128</v>
      </c>
      <c r="AZ231" s="8">
        <f t="shared" si="20"/>
        <v>32</v>
      </c>
      <c r="BA231" s="8">
        <f t="shared" si="21"/>
        <v>2048</v>
      </c>
      <c r="BB231" s="8">
        <f t="shared" si="22"/>
        <v>256</v>
      </c>
      <c r="BC231" s="8">
        <f t="shared" si="23"/>
        <v>2550</v>
      </c>
      <c r="BD231" s="8"/>
      <c r="BE231" s="8"/>
      <c r="BF231" s="8"/>
      <c r="BG231" s="8"/>
      <c r="BH231" s="8"/>
    </row>
    <row r="232" spans="2:60">
      <c r="B232" s="11"/>
      <c r="C232" s="12"/>
      <c r="D232" s="8"/>
      <c r="E232" s="13"/>
      <c r="F232" s="14"/>
      <c r="G232" s="13"/>
      <c r="H232" s="1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2">
        <v>1526</v>
      </c>
      <c r="AK232" s="118">
        <v>108</v>
      </c>
      <c r="AL232" s="119" t="s">
        <v>117</v>
      </c>
      <c r="AM232" s="119" t="s">
        <v>119</v>
      </c>
      <c r="AN232" s="119" t="s">
        <v>114</v>
      </c>
      <c r="AO232" s="119" t="s">
        <v>115</v>
      </c>
      <c r="AP232" s="119" t="s">
        <v>120</v>
      </c>
      <c r="AQ232" s="119" t="s">
        <v>118</v>
      </c>
      <c r="AR232" s="119" t="s">
        <v>121</v>
      </c>
      <c r="AS232" s="119" t="s">
        <v>123</v>
      </c>
      <c r="AT232" s="8"/>
      <c r="AU232" s="8">
        <f t="shared" si="15"/>
        <v>16</v>
      </c>
      <c r="AV232" s="8">
        <f t="shared" si="16"/>
        <v>64</v>
      </c>
      <c r="AW232" s="8">
        <f t="shared" si="17"/>
        <v>2</v>
      </c>
      <c r="AX232" s="8">
        <f t="shared" si="18"/>
        <v>4</v>
      </c>
      <c r="AY232" s="8">
        <f t="shared" si="19"/>
        <v>128</v>
      </c>
      <c r="AZ232" s="8">
        <f t="shared" si="20"/>
        <v>32</v>
      </c>
      <c r="BA232" s="8">
        <f t="shared" si="21"/>
        <v>256</v>
      </c>
      <c r="BB232" s="8">
        <f t="shared" si="22"/>
        <v>1024</v>
      </c>
      <c r="BC232" s="8">
        <f t="shared" si="23"/>
        <v>1526</v>
      </c>
      <c r="BD232" s="8"/>
      <c r="BE232" s="8"/>
      <c r="BF232" s="8"/>
      <c r="BG232" s="8"/>
      <c r="BH232" s="8"/>
    </row>
    <row r="233" spans="2:60">
      <c r="B233" s="11"/>
      <c r="C233" s="12"/>
      <c r="D233" s="8"/>
      <c r="E233" s="13"/>
      <c r="F233" s="14"/>
      <c r="G233" s="13"/>
      <c r="H233" s="1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2">
        <v>1014</v>
      </c>
      <c r="AK233" s="118">
        <v>109</v>
      </c>
      <c r="AL233" s="119" t="s">
        <v>120</v>
      </c>
      <c r="AM233" s="119" t="s">
        <v>119</v>
      </c>
      <c r="AN233" s="119" t="s">
        <v>114</v>
      </c>
      <c r="AO233" s="119" t="s">
        <v>115</v>
      </c>
      <c r="AP233" s="119" t="s">
        <v>122</v>
      </c>
      <c r="AQ233" s="119" t="s">
        <v>118</v>
      </c>
      <c r="AR233" s="119" t="s">
        <v>117</v>
      </c>
      <c r="AS233" s="119" t="s">
        <v>121</v>
      </c>
      <c r="AT233" s="8"/>
      <c r="AU233" s="8">
        <f t="shared" si="15"/>
        <v>128</v>
      </c>
      <c r="AV233" s="8">
        <f t="shared" si="16"/>
        <v>64</v>
      </c>
      <c r="AW233" s="8">
        <f t="shared" si="17"/>
        <v>2</v>
      </c>
      <c r="AX233" s="8">
        <f t="shared" si="18"/>
        <v>4</v>
      </c>
      <c r="AY233" s="8">
        <f t="shared" si="19"/>
        <v>512</v>
      </c>
      <c r="AZ233" s="8">
        <f t="shared" si="20"/>
        <v>32</v>
      </c>
      <c r="BA233" s="8">
        <f t="shared" si="21"/>
        <v>16</v>
      </c>
      <c r="BB233" s="8">
        <f t="shared" si="22"/>
        <v>256</v>
      </c>
      <c r="BC233" s="8">
        <f t="shared" si="23"/>
        <v>1014</v>
      </c>
      <c r="BD233" s="8"/>
      <c r="BE233" s="8"/>
      <c r="BF233" s="8"/>
      <c r="BG233" s="8"/>
      <c r="BH233" s="8"/>
    </row>
    <row r="234" spans="2:60">
      <c r="B234" s="11"/>
      <c r="C234" s="12"/>
      <c r="D234" s="8"/>
      <c r="E234" s="13"/>
      <c r="F234" s="14"/>
      <c r="G234" s="13"/>
      <c r="H234" s="1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2">
        <v>3982</v>
      </c>
      <c r="AK234" s="118">
        <v>110</v>
      </c>
      <c r="AL234" s="119" t="s">
        <v>120</v>
      </c>
      <c r="AM234" s="119" t="s">
        <v>122</v>
      </c>
      <c r="AN234" s="119" t="s">
        <v>114</v>
      </c>
      <c r="AO234" s="119" t="s">
        <v>115</v>
      </c>
      <c r="AP234" s="119" t="s">
        <v>121</v>
      </c>
      <c r="AQ234" s="119" t="s">
        <v>116</v>
      </c>
      <c r="AR234" s="119" t="s">
        <v>124</v>
      </c>
      <c r="AS234" s="119" t="s">
        <v>123</v>
      </c>
      <c r="AT234" s="8"/>
      <c r="AU234" s="8">
        <f t="shared" si="15"/>
        <v>128</v>
      </c>
      <c r="AV234" s="8">
        <f t="shared" si="16"/>
        <v>512</v>
      </c>
      <c r="AW234" s="8">
        <f t="shared" si="17"/>
        <v>2</v>
      </c>
      <c r="AX234" s="8">
        <f t="shared" si="18"/>
        <v>4</v>
      </c>
      <c r="AY234" s="8">
        <f t="shared" si="19"/>
        <v>256</v>
      </c>
      <c r="AZ234" s="8">
        <f t="shared" si="20"/>
        <v>8</v>
      </c>
      <c r="BA234" s="8">
        <f t="shared" si="21"/>
        <v>2048</v>
      </c>
      <c r="BB234" s="8">
        <f t="shared" si="22"/>
        <v>1024</v>
      </c>
      <c r="BC234" s="8">
        <f t="shared" si="23"/>
        <v>3982</v>
      </c>
      <c r="BD234" s="8"/>
      <c r="BE234" s="8"/>
      <c r="BF234" s="8"/>
      <c r="BG234" s="8"/>
      <c r="BH234" s="8"/>
    </row>
    <row r="235" spans="2:60">
      <c r="B235" s="11"/>
      <c r="C235" s="12"/>
      <c r="D235" s="8"/>
      <c r="E235" s="13"/>
      <c r="F235" s="14"/>
      <c r="G235" s="13"/>
      <c r="H235" s="15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2">
        <v>3918</v>
      </c>
      <c r="AK235" s="118">
        <v>111</v>
      </c>
      <c r="AL235" s="119" t="s">
        <v>121</v>
      </c>
      <c r="AM235" s="119" t="s">
        <v>119</v>
      </c>
      <c r="AN235" s="119" t="s">
        <v>114</v>
      </c>
      <c r="AO235" s="119" t="s">
        <v>115</v>
      </c>
      <c r="AP235" s="119" t="s">
        <v>122</v>
      </c>
      <c r="AQ235" s="119" t="s">
        <v>116</v>
      </c>
      <c r="AR235" s="119" t="s">
        <v>124</v>
      </c>
      <c r="AS235" s="119" t="s">
        <v>123</v>
      </c>
      <c r="AT235" s="8"/>
      <c r="AU235" s="8">
        <f t="shared" si="15"/>
        <v>256</v>
      </c>
      <c r="AV235" s="8">
        <f t="shared" si="16"/>
        <v>64</v>
      </c>
      <c r="AW235" s="8">
        <f t="shared" si="17"/>
        <v>2</v>
      </c>
      <c r="AX235" s="8">
        <f t="shared" si="18"/>
        <v>4</v>
      </c>
      <c r="AY235" s="8">
        <f t="shared" si="19"/>
        <v>512</v>
      </c>
      <c r="AZ235" s="8">
        <f t="shared" si="20"/>
        <v>8</v>
      </c>
      <c r="BA235" s="8">
        <f t="shared" si="21"/>
        <v>2048</v>
      </c>
      <c r="BB235" s="8">
        <f t="shared" si="22"/>
        <v>1024</v>
      </c>
      <c r="BC235" s="8">
        <f t="shared" si="23"/>
        <v>3918</v>
      </c>
      <c r="BD235" s="8"/>
      <c r="BE235" s="8"/>
      <c r="BF235" s="8"/>
      <c r="BG235" s="8"/>
      <c r="BH235" s="8"/>
    </row>
    <row r="236" spans="2:60">
      <c r="B236" s="11"/>
      <c r="C236" s="12"/>
      <c r="D236" s="8"/>
      <c r="E236" s="13"/>
      <c r="F236" s="14"/>
      <c r="G236" s="13"/>
      <c r="H236" s="1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2">
        <v>3790</v>
      </c>
      <c r="AK236" s="118">
        <v>112</v>
      </c>
      <c r="AL236" s="119" t="s">
        <v>120</v>
      </c>
      <c r="AM236" s="119" t="s">
        <v>119</v>
      </c>
      <c r="AN236" s="119" t="s">
        <v>114</v>
      </c>
      <c r="AO236" s="119" t="s">
        <v>115</v>
      </c>
      <c r="AP236" s="119" t="s">
        <v>122</v>
      </c>
      <c r="AQ236" s="119" t="s">
        <v>116</v>
      </c>
      <c r="AR236" s="119" t="s">
        <v>124</v>
      </c>
      <c r="AS236" s="119" t="s">
        <v>123</v>
      </c>
      <c r="AT236" s="8"/>
      <c r="AU236" s="8">
        <f t="shared" si="15"/>
        <v>128</v>
      </c>
      <c r="AV236" s="8">
        <f t="shared" si="16"/>
        <v>64</v>
      </c>
      <c r="AW236" s="8">
        <f t="shared" si="17"/>
        <v>2</v>
      </c>
      <c r="AX236" s="8">
        <f t="shared" si="18"/>
        <v>4</v>
      </c>
      <c r="AY236" s="8">
        <f t="shared" si="19"/>
        <v>512</v>
      </c>
      <c r="AZ236" s="8">
        <f t="shared" si="20"/>
        <v>8</v>
      </c>
      <c r="BA236" s="8">
        <f t="shared" si="21"/>
        <v>2048</v>
      </c>
      <c r="BB236" s="8">
        <f t="shared" si="22"/>
        <v>1024</v>
      </c>
      <c r="BC236" s="8">
        <f t="shared" si="23"/>
        <v>3790</v>
      </c>
      <c r="BD236" s="8"/>
      <c r="BE236" s="8"/>
      <c r="BF236" s="8"/>
      <c r="BG236" s="8"/>
      <c r="BH236" s="8"/>
    </row>
    <row r="237" spans="2:60">
      <c r="B237" s="11"/>
      <c r="C237" s="12"/>
      <c r="D237" s="8"/>
      <c r="E237" s="13"/>
      <c r="F237" s="14"/>
      <c r="G237" s="13"/>
      <c r="H237" s="1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2">
        <v>3534</v>
      </c>
      <c r="AK237" s="118">
        <v>113</v>
      </c>
      <c r="AL237" s="119" t="s">
        <v>120</v>
      </c>
      <c r="AM237" s="119" t="s">
        <v>119</v>
      </c>
      <c r="AN237" s="119" t="s">
        <v>114</v>
      </c>
      <c r="AO237" s="119" t="s">
        <v>115</v>
      </c>
      <c r="AP237" s="119" t="s">
        <v>121</v>
      </c>
      <c r="AQ237" s="119" t="s">
        <v>116</v>
      </c>
      <c r="AR237" s="119" t="s">
        <v>124</v>
      </c>
      <c r="AS237" s="119" t="s">
        <v>123</v>
      </c>
      <c r="AT237" s="8"/>
      <c r="AU237" s="8">
        <f t="shared" si="15"/>
        <v>128</v>
      </c>
      <c r="AV237" s="8">
        <f t="shared" si="16"/>
        <v>64</v>
      </c>
      <c r="AW237" s="8">
        <f t="shared" si="17"/>
        <v>2</v>
      </c>
      <c r="AX237" s="8">
        <f t="shared" si="18"/>
        <v>4</v>
      </c>
      <c r="AY237" s="8">
        <f t="shared" si="19"/>
        <v>256</v>
      </c>
      <c r="AZ237" s="8">
        <f t="shared" si="20"/>
        <v>8</v>
      </c>
      <c r="BA237" s="8">
        <f t="shared" si="21"/>
        <v>2048</v>
      </c>
      <c r="BB237" s="8">
        <f t="shared" si="22"/>
        <v>1024</v>
      </c>
      <c r="BC237" s="8">
        <f t="shared" si="23"/>
        <v>3534</v>
      </c>
      <c r="BD237" s="8"/>
      <c r="BE237" s="8"/>
      <c r="BF237" s="8"/>
      <c r="BG237" s="8"/>
      <c r="BH237" s="8"/>
    </row>
    <row r="238" spans="2:60">
      <c r="B238" s="11"/>
      <c r="C238" s="12"/>
      <c r="D238" s="8"/>
      <c r="E238" s="13"/>
      <c r="F238" s="14"/>
      <c r="G238" s="13"/>
      <c r="H238" s="15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2">
        <v>3022</v>
      </c>
      <c r="AK238" s="118">
        <v>114</v>
      </c>
      <c r="AL238" s="119" t="s">
        <v>120</v>
      </c>
      <c r="AM238" s="119" t="s">
        <v>119</v>
      </c>
      <c r="AN238" s="119" t="s">
        <v>114</v>
      </c>
      <c r="AO238" s="119" t="s">
        <v>115</v>
      </c>
      <c r="AP238" s="119" t="s">
        <v>122</v>
      </c>
      <c r="AQ238" s="119" t="s">
        <v>116</v>
      </c>
      <c r="AR238" s="119" t="s">
        <v>124</v>
      </c>
      <c r="AS238" s="119" t="s">
        <v>121</v>
      </c>
      <c r="AT238" s="8"/>
      <c r="AU238" s="8">
        <f t="shared" si="15"/>
        <v>128</v>
      </c>
      <c r="AV238" s="8">
        <f t="shared" si="16"/>
        <v>64</v>
      </c>
      <c r="AW238" s="8">
        <f t="shared" si="17"/>
        <v>2</v>
      </c>
      <c r="AX238" s="8">
        <f t="shared" si="18"/>
        <v>4</v>
      </c>
      <c r="AY238" s="8">
        <f t="shared" si="19"/>
        <v>512</v>
      </c>
      <c r="AZ238" s="8">
        <f t="shared" si="20"/>
        <v>8</v>
      </c>
      <c r="BA238" s="8">
        <f t="shared" si="21"/>
        <v>2048</v>
      </c>
      <c r="BB238" s="8">
        <f t="shared" si="22"/>
        <v>256</v>
      </c>
      <c r="BC238" s="8">
        <f t="shared" si="23"/>
        <v>3022</v>
      </c>
      <c r="BD238" s="8"/>
      <c r="BE238" s="8"/>
      <c r="BF238" s="8"/>
      <c r="BG238" s="8"/>
      <c r="BH238" s="8"/>
    </row>
    <row r="239" spans="2:60">
      <c r="B239" s="11"/>
      <c r="C239" s="12"/>
      <c r="D239" s="8"/>
      <c r="E239" s="13"/>
      <c r="F239" s="14"/>
      <c r="G239" s="13"/>
      <c r="H239" s="1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2">
        <v>1998</v>
      </c>
      <c r="AK239" s="118">
        <v>115</v>
      </c>
      <c r="AL239" s="119" t="s">
        <v>120</v>
      </c>
      <c r="AM239" s="119" t="s">
        <v>119</v>
      </c>
      <c r="AN239" s="119" t="s">
        <v>114</v>
      </c>
      <c r="AO239" s="119" t="s">
        <v>115</v>
      </c>
      <c r="AP239" s="119" t="s">
        <v>122</v>
      </c>
      <c r="AQ239" s="119" t="s">
        <v>116</v>
      </c>
      <c r="AR239" s="119" t="s">
        <v>121</v>
      </c>
      <c r="AS239" s="119" t="s">
        <v>123</v>
      </c>
      <c r="AT239" s="8"/>
      <c r="AU239" s="8">
        <f t="shared" si="15"/>
        <v>128</v>
      </c>
      <c r="AV239" s="8">
        <f t="shared" si="16"/>
        <v>64</v>
      </c>
      <c r="AW239" s="8">
        <f t="shared" si="17"/>
        <v>2</v>
      </c>
      <c r="AX239" s="8">
        <f t="shared" si="18"/>
        <v>4</v>
      </c>
      <c r="AY239" s="8">
        <f t="shared" si="19"/>
        <v>512</v>
      </c>
      <c r="AZ239" s="8">
        <f t="shared" si="20"/>
        <v>8</v>
      </c>
      <c r="BA239" s="8">
        <f t="shared" si="21"/>
        <v>256</v>
      </c>
      <c r="BB239" s="8">
        <f t="shared" si="22"/>
        <v>1024</v>
      </c>
      <c r="BC239" s="8">
        <f t="shared" si="23"/>
        <v>1998</v>
      </c>
      <c r="BD239" s="8"/>
      <c r="BE239" s="8"/>
      <c r="BF239" s="8"/>
      <c r="BG239" s="8"/>
      <c r="BH239" s="8"/>
    </row>
    <row r="240" spans="2:60">
      <c r="B240" s="11"/>
      <c r="C240" s="12"/>
      <c r="D240" s="8"/>
      <c r="E240" s="13"/>
      <c r="F240" s="14"/>
      <c r="G240" s="13"/>
      <c r="H240" s="1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2">
        <v>3886</v>
      </c>
      <c r="AK240" s="118">
        <v>116</v>
      </c>
      <c r="AL240" s="119" t="s">
        <v>115</v>
      </c>
      <c r="AM240" s="119" t="s">
        <v>122</v>
      </c>
      <c r="AN240" s="119" t="s">
        <v>114</v>
      </c>
      <c r="AO240" s="119" t="s">
        <v>116</v>
      </c>
      <c r="AP240" s="119" t="s">
        <v>121</v>
      </c>
      <c r="AQ240" s="119" t="s">
        <v>118</v>
      </c>
      <c r="AR240" s="119" t="s">
        <v>124</v>
      </c>
      <c r="AS240" s="119" t="s">
        <v>123</v>
      </c>
      <c r="AT240" s="8"/>
      <c r="AU240" s="8">
        <f t="shared" si="15"/>
        <v>4</v>
      </c>
      <c r="AV240" s="8">
        <f t="shared" si="16"/>
        <v>512</v>
      </c>
      <c r="AW240" s="8">
        <f t="shared" si="17"/>
        <v>2</v>
      </c>
      <c r="AX240" s="8">
        <f t="shared" si="18"/>
        <v>8</v>
      </c>
      <c r="AY240" s="8">
        <f t="shared" si="19"/>
        <v>256</v>
      </c>
      <c r="AZ240" s="8">
        <f t="shared" si="20"/>
        <v>32</v>
      </c>
      <c r="BA240" s="8">
        <f t="shared" si="21"/>
        <v>2048</v>
      </c>
      <c r="BB240" s="8">
        <f t="shared" si="22"/>
        <v>1024</v>
      </c>
      <c r="BC240" s="8">
        <f t="shared" si="23"/>
        <v>3886</v>
      </c>
      <c r="BD240" s="8"/>
      <c r="BE240" s="8"/>
      <c r="BF240" s="8"/>
      <c r="BG240" s="8"/>
      <c r="BH240" s="8"/>
    </row>
    <row r="241" spans="2:60">
      <c r="B241" s="11"/>
      <c r="C241" s="12"/>
      <c r="D241" s="8"/>
      <c r="E241" s="13"/>
      <c r="F241" s="14"/>
      <c r="G241" s="13"/>
      <c r="H241" s="15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2">
        <v>3758</v>
      </c>
      <c r="AK241" s="118">
        <v>117</v>
      </c>
      <c r="AL241" s="119" t="s">
        <v>115</v>
      </c>
      <c r="AM241" s="119" t="s">
        <v>122</v>
      </c>
      <c r="AN241" s="119" t="s">
        <v>114</v>
      </c>
      <c r="AO241" s="119" t="s">
        <v>116</v>
      </c>
      <c r="AP241" s="119" t="s">
        <v>120</v>
      </c>
      <c r="AQ241" s="119" t="s">
        <v>118</v>
      </c>
      <c r="AR241" s="119" t="s">
        <v>124</v>
      </c>
      <c r="AS241" s="119" t="s">
        <v>123</v>
      </c>
      <c r="AT241" s="8"/>
      <c r="AU241" s="8">
        <f t="shared" si="15"/>
        <v>4</v>
      </c>
      <c r="AV241" s="8">
        <f t="shared" si="16"/>
        <v>512</v>
      </c>
      <c r="AW241" s="8">
        <f t="shared" si="17"/>
        <v>2</v>
      </c>
      <c r="AX241" s="8">
        <f t="shared" si="18"/>
        <v>8</v>
      </c>
      <c r="AY241" s="8">
        <f t="shared" si="19"/>
        <v>128</v>
      </c>
      <c r="AZ241" s="8">
        <f t="shared" si="20"/>
        <v>32</v>
      </c>
      <c r="BA241" s="8">
        <f t="shared" si="21"/>
        <v>2048</v>
      </c>
      <c r="BB241" s="8">
        <f t="shared" si="22"/>
        <v>1024</v>
      </c>
      <c r="BC241" s="8">
        <f t="shared" si="23"/>
        <v>3758</v>
      </c>
      <c r="BD241" s="8"/>
      <c r="BE241" s="8"/>
      <c r="BF241" s="8"/>
      <c r="BG241" s="8"/>
      <c r="BH241" s="8"/>
    </row>
    <row r="242" spans="2:60">
      <c r="B242" s="11"/>
      <c r="C242" s="12"/>
      <c r="D242" s="8"/>
      <c r="E242" s="13"/>
      <c r="F242" s="14"/>
      <c r="G242" s="13"/>
      <c r="H242" s="1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2">
        <v>3502</v>
      </c>
      <c r="AK242" s="118">
        <v>118</v>
      </c>
      <c r="AL242" s="119" t="s">
        <v>115</v>
      </c>
      <c r="AM242" s="119" t="s">
        <v>121</v>
      </c>
      <c r="AN242" s="119" t="s">
        <v>114</v>
      </c>
      <c r="AO242" s="119" t="s">
        <v>116</v>
      </c>
      <c r="AP242" s="119" t="s">
        <v>120</v>
      </c>
      <c r="AQ242" s="119" t="s">
        <v>118</v>
      </c>
      <c r="AR242" s="119" t="s">
        <v>124</v>
      </c>
      <c r="AS242" s="119" t="s">
        <v>123</v>
      </c>
      <c r="AT242" s="8"/>
      <c r="AU242" s="8">
        <f t="shared" si="15"/>
        <v>4</v>
      </c>
      <c r="AV242" s="8">
        <f t="shared" si="16"/>
        <v>256</v>
      </c>
      <c r="AW242" s="8">
        <f t="shared" si="17"/>
        <v>2</v>
      </c>
      <c r="AX242" s="8">
        <f t="shared" si="18"/>
        <v>8</v>
      </c>
      <c r="AY242" s="8">
        <f t="shared" si="19"/>
        <v>128</v>
      </c>
      <c r="AZ242" s="8">
        <f t="shared" si="20"/>
        <v>32</v>
      </c>
      <c r="BA242" s="8">
        <f t="shared" si="21"/>
        <v>2048</v>
      </c>
      <c r="BB242" s="8">
        <f t="shared" si="22"/>
        <v>1024</v>
      </c>
      <c r="BC242" s="8">
        <f t="shared" si="23"/>
        <v>3502</v>
      </c>
      <c r="BD242" s="8"/>
      <c r="BE242" s="8"/>
      <c r="BF242" s="8"/>
      <c r="BG242" s="8"/>
      <c r="BH242" s="8"/>
    </row>
    <row r="243" spans="2:60">
      <c r="B243" s="11"/>
      <c r="C243" s="12"/>
      <c r="D243" s="8"/>
      <c r="E243" s="13"/>
      <c r="F243" s="14"/>
      <c r="G243" s="13"/>
      <c r="H243" s="1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2">
        <v>2990</v>
      </c>
      <c r="AK243" s="118">
        <v>119</v>
      </c>
      <c r="AL243" s="119" t="s">
        <v>115</v>
      </c>
      <c r="AM243" s="119" t="s">
        <v>122</v>
      </c>
      <c r="AN243" s="119" t="s">
        <v>114</v>
      </c>
      <c r="AO243" s="119" t="s">
        <v>116</v>
      </c>
      <c r="AP243" s="119" t="s">
        <v>120</v>
      </c>
      <c r="AQ243" s="119" t="s">
        <v>118</v>
      </c>
      <c r="AR243" s="119" t="s">
        <v>124</v>
      </c>
      <c r="AS243" s="119" t="s">
        <v>121</v>
      </c>
      <c r="AT243" s="8"/>
      <c r="AU243" s="8">
        <f t="shared" si="15"/>
        <v>4</v>
      </c>
      <c r="AV243" s="8">
        <f t="shared" si="16"/>
        <v>512</v>
      </c>
      <c r="AW243" s="8">
        <f t="shared" si="17"/>
        <v>2</v>
      </c>
      <c r="AX243" s="8">
        <f t="shared" si="18"/>
        <v>8</v>
      </c>
      <c r="AY243" s="8">
        <f t="shared" si="19"/>
        <v>128</v>
      </c>
      <c r="AZ243" s="8">
        <f t="shared" si="20"/>
        <v>32</v>
      </c>
      <c r="BA243" s="8">
        <f t="shared" si="21"/>
        <v>2048</v>
      </c>
      <c r="BB243" s="8">
        <f t="shared" si="22"/>
        <v>256</v>
      </c>
      <c r="BC243" s="8">
        <f t="shared" si="23"/>
        <v>2990</v>
      </c>
      <c r="BD243" s="8"/>
      <c r="BE243" s="8"/>
      <c r="BF243" s="8"/>
      <c r="BG243" s="8"/>
      <c r="BH243" s="8"/>
    </row>
    <row r="244" spans="2:60">
      <c r="B244" s="11"/>
      <c r="C244" s="12"/>
      <c r="D244" s="8"/>
      <c r="E244" s="13"/>
      <c r="F244" s="14"/>
      <c r="G244" s="13"/>
      <c r="H244" s="1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2">
        <v>1966</v>
      </c>
      <c r="AK244" s="118">
        <v>120</v>
      </c>
      <c r="AL244" s="119" t="s">
        <v>115</v>
      </c>
      <c r="AM244" s="119" t="s">
        <v>122</v>
      </c>
      <c r="AN244" s="119" t="s">
        <v>114</v>
      </c>
      <c r="AO244" s="119" t="s">
        <v>116</v>
      </c>
      <c r="AP244" s="119" t="s">
        <v>120</v>
      </c>
      <c r="AQ244" s="119" t="s">
        <v>118</v>
      </c>
      <c r="AR244" s="119" t="s">
        <v>121</v>
      </c>
      <c r="AS244" s="119" t="s">
        <v>123</v>
      </c>
      <c r="AT244" s="8"/>
      <c r="AU244" s="8">
        <f t="shared" si="15"/>
        <v>4</v>
      </c>
      <c r="AV244" s="8">
        <f t="shared" si="16"/>
        <v>512</v>
      </c>
      <c r="AW244" s="8">
        <f t="shared" si="17"/>
        <v>2</v>
      </c>
      <c r="AX244" s="8">
        <f t="shared" si="18"/>
        <v>8</v>
      </c>
      <c r="AY244" s="8">
        <f t="shared" si="19"/>
        <v>128</v>
      </c>
      <c r="AZ244" s="8">
        <f t="shared" si="20"/>
        <v>32</v>
      </c>
      <c r="BA244" s="8">
        <f t="shared" si="21"/>
        <v>256</v>
      </c>
      <c r="BB244" s="8">
        <f t="shared" si="22"/>
        <v>1024</v>
      </c>
      <c r="BC244" s="8">
        <f t="shared" si="23"/>
        <v>1966</v>
      </c>
      <c r="BD244" s="8"/>
      <c r="BE244" s="8"/>
      <c r="BF244" s="8"/>
      <c r="BG244" s="8"/>
      <c r="BH244" s="8"/>
    </row>
    <row r="245" spans="2:60">
      <c r="B245" s="11"/>
      <c r="C245" s="12"/>
      <c r="D245" s="8"/>
      <c r="E245" s="13"/>
      <c r="F245" s="14"/>
      <c r="G245" s="13"/>
      <c r="H245" s="15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2">
        <v>3694</v>
      </c>
      <c r="AK245" s="118">
        <v>121</v>
      </c>
      <c r="AL245" s="119" t="s">
        <v>115</v>
      </c>
      <c r="AM245" s="119" t="s">
        <v>119</v>
      </c>
      <c r="AN245" s="119" t="s">
        <v>114</v>
      </c>
      <c r="AO245" s="119" t="s">
        <v>116</v>
      </c>
      <c r="AP245" s="119" t="s">
        <v>122</v>
      </c>
      <c r="AQ245" s="119" t="s">
        <v>118</v>
      </c>
      <c r="AR245" s="119" t="s">
        <v>124</v>
      </c>
      <c r="AS245" s="119" t="s">
        <v>123</v>
      </c>
      <c r="AT245" s="8"/>
      <c r="AU245" s="8">
        <f t="shared" si="15"/>
        <v>4</v>
      </c>
      <c r="AV245" s="8">
        <f t="shared" si="16"/>
        <v>64</v>
      </c>
      <c r="AW245" s="8">
        <f t="shared" si="17"/>
        <v>2</v>
      </c>
      <c r="AX245" s="8">
        <f t="shared" si="18"/>
        <v>8</v>
      </c>
      <c r="AY245" s="8">
        <f t="shared" si="19"/>
        <v>512</v>
      </c>
      <c r="AZ245" s="8">
        <f t="shared" si="20"/>
        <v>32</v>
      </c>
      <c r="BA245" s="8">
        <f t="shared" si="21"/>
        <v>2048</v>
      </c>
      <c r="BB245" s="8">
        <f t="shared" si="22"/>
        <v>1024</v>
      </c>
      <c r="BC245" s="8">
        <f t="shared" si="23"/>
        <v>3694</v>
      </c>
      <c r="BD245" s="8"/>
      <c r="BE245" s="8"/>
      <c r="BF245" s="8"/>
      <c r="BG245" s="8"/>
      <c r="BH245" s="8"/>
    </row>
    <row r="246" spans="2:60">
      <c r="B246" s="11"/>
      <c r="C246" s="12"/>
      <c r="D246" s="8"/>
      <c r="E246" s="13"/>
      <c r="F246" s="14"/>
      <c r="G246" s="13"/>
      <c r="H246" s="1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2">
        <v>3438</v>
      </c>
      <c r="AK246" s="118">
        <v>122</v>
      </c>
      <c r="AL246" s="119" t="s">
        <v>115</v>
      </c>
      <c r="AM246" s="119" t="s">
        <v>119</v>
      </c>
      <c r="AN246" s="119" t="s">
        <v>114</v>
      </c>
      <c r="AO246" s="119" t="s">
        <v>116</v>
      </c>
      <c r="AP246" s="119" t="s">
        <v>121</v>
      </c>
      <c r="AQ246" s="119" t="s">
        <v>118</v>
      </c>
      <c r="AR246" s="119" t="s">
        <v>124</v>
      </c>
      <c r="AS246" s="119" t="s">
        <v>123</v>
      </c>
      <c r="AT246" s="8"/>
      <c r="AU246" s="8">
        <f t="shared" si="15"/>
        <v>4</v>
      </c>
      <c r="AV246" s="8">
        <f t="shared" si="16"/>
        <v>64</v>
      </c>
      <c r="AW246" s="8">
        <f t="shared" si="17"/>
        <v>2</v>
      </c>
      <c r="AX246" s="8">
        <f t="shared" si="18"/>
        <v>8</v>
      </c>
      <c r="AY246" s="8">
        <f t="shared" si="19"/>
        <v>256</v>
      </c>
      <c r="AZ246" s="8">
        <f t="shared" si="20"/>
        <v>32</v>
      </c>
      <c r="BA246" s="8">
        <f t="shared" si="21"/>
        <v>2048</v>
      </c>
      <c r="BB246" s="8">
        <f t="shared" si="22"/>
        <v>1024</v>
      </c>
      <c r="BC246" s="8">
        <f t="shared" si="23"/>
        <v>3438</v>
      </c>
      <c r="BD246" s="8"/>
      <c r="BE246" s="8"/>
      <c r="BF246" s="8"/>
      <c r="BG246" s="8"/>
      <c r="BH246" s="8"/>
    </row>
    <row r="247" spans="2:60">
      <c r="B247" s="11"/>
      <c r="C247" s="12"/>
      <c r="D247" s="8"/>
      <c r="E247" s="13"/>
      <c r="F247" s="14"/>
      <c r="G247" s="13"/>
      <c r="H247" s="1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2">
        <v>2926</v>
      </c>
      <c r="AK247" s="118">
        <v>123</v>
      </c>
      <c r="AL247" s="119" t="s">
        <v>115</v>
      </c>
      <c r="AM247" s="119" t="s">
        <v>119</v>
      </c>
      <c r="AN247" s="119" t="s">
        <v>114</v>
      </c>
      <c r="AO247" s="119" t="s">
        <v>116</v>
      </c>
      <c r="AP247" s="119" t="s">
        <v>122</v>
      </c>
      <c r="AQ247" s="119" t="s">
        <v>118</v>
      </c>
      <c r="AR247" s="119" t="s">
        <v>124</v>
      </c>
      <c r="AS247" s="119" t="s">
        <v>121</v>
      </c>
      <c r="AT247" s="8"/>
      <c r="AU247" s="8">
        <f t="shared" si="15"/>
        <v>4</v>
      </c>
      <c r="AV247" s="8">
        <f t="shared" si="16"/>
        <v>64</v>
      </c>
      <c r="AW247" s="8">
        <f t="shared" si="17"/>
        <v>2</v>
      </c>
      <c r="AX247" s="8">
        <f t="shared" si="18"/>
        <v>8</v>
      </c>
      <c r="AY247" s="8">
        <f t="shared" si="19"/>
        <v>512</v>
      </c>
      <c r="AZ247" s="8">
        <f t="shared" si="20"/>
        <v>32</v>
      </c>
      <c r="BA247" s="8">
        <f t="shared" si="21"/>
        <v>2048</v>
      </c>
      <c r="BB247" s="8">
        <f t="shared" si="22"/>
        <v>256</v>
      </c>
      <c r="BC247" s="8">
        <f t="shared" si="23"/>
        <v>2926</v>
      </c>
      <c r="BD247" s="8"/>
      <c r="BE247" s="8"/>
      <c r="BF247" s="8"/>
      <c r="BG247" s="8"/>
      <c r="BH247" s="8"/>
    </row>
    <row r="248" spans="2:60">
      <c r="B248" s="11"/>
      <c r="C248" s="12"/>
      <c r="D248" s="8"/>
      <c r="E248" s="13"/>
      <c r="F248" s="14"/>
      <c r="G248" s="13"/>
      <c r="H248" s="15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2">
        <v>1902</v>
      </c>
      <c r="AK248" s="118">
        <v>124</v>
      </c>
      <c r="AL248" s="119" t="s">
        <v>115</v>
      </c>
      <c r="AM248" s="119" t="s">
        <v>119</v>
      </c>
      <c r="AN248" s="119" t="s">
        <v>114</v>
      </c>
      <c r="AO248" s="119" t="s">
        <v>116</v>
      </c>
      <c r="AP248" s="119" t="s">
        <v>122</v>
      </c>
      <c r="AQ248" s="119" t="s">
        <v>118</v>
      </c>
      <c r="AR248" s="119" t="s">
        <v>121</v>
      </c>
      <c r="AS248" s="119" t="s">
        <v>123</v>
      </c>
      <c r="AT248" s="8"/>
      <c r="AU248" s="8">
        <f t="shared" si="15"/>
        <v>4</v>
      </c>
      <c r="AV248" s="8">
        <f t="shared" si="16"/>
        <v>64</v>
      </c>
      <c r="AW248" s="8">
        <f t="shared" si="17"/>
        <v>2</v>
      </c>
      <c r="AX248" s="8">
        <f t="shared" si="18"/>
        <v>8</v>
      </c>
      <c r="AY248" s="8">
        <f t="shared" si="19"/>
        <v>512</v>
      </c>
      <c r="AZ248" s="8">
        <f t="shared" si="20"/>
        <v>32</v>
      </c>
      <c r="BA248" s="8">
        <f t="shared" si="21"/>
        <v>256</v>
      </c>
      <c r="BB248" s="8">
        <f t="shared" si="22"/>
        <v>1024</v>
      </c>
      <c r="BC248" s="8">
        <f t="shared" si="23"/>
        <v>1902</v>
      </c>
      <c r="BD248" s="8"/>
      <c r="BE248" s="8"/>
      <c r="BF248" s="8"/>
      <c r="BG248" s="8"/>
      <c r="BH248" s="8"/>
    </row>
    <row r="249" spans="2:60">
      <c r="B249" s="11"/>
      <c r="C249" s="12"/>
      <c r="D249" s="8"/>
      <c r="E249" s="13"/>
      <c r="F249" s="14"/>
      <c r="G249" s="13"/>
      <c r="H249" s="1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2">
        <v>3310</v>
      </c>
      <c r="AK249" s="118">
        <v>125</v>
      </c>
      <c r="AL249" s="119" t="s">
        <v>115</v>
      </c>
      <c r="AM249" s="119" t="s">
        <v>119</v>
      </c>
      <c r="AN249" s="119" t="s">
        <v>114</v>
      </c>
      <c r="AO249" s="119" t="s">
        <v>116</v>
      </c>
      <c r="AP249" s="119" t="s">
        <v>120</v>
      </c>
      <c r="AQ249" s="119" t="s">
        <v>118</v>
      </c>
      <c r="AR249" s="119" t="s">
        <v>124</v>
      </c>
      <c r="AS249" s="119" t="s">
        <v>123</v>
      </c>
      <c r="AT249" s="8"/>
      <c r="AU249" s="8">
        <f t="shared" si="15"/>
        <v>4</v>
      </c>
      <c r="AV249" s="8">
        <f t="shared" si="16"/>
        <v>64</v>
      </c>
      <c r="AW249" s="8">
        <f t="shared" si="17"/>
        <v>2</v>
      </c>
      <c r="AX249" s="8">
        <f t="shared" si="18"/>
        <v>8</v>
      </c>
      <c r="AY249" s="8">
        <f t="shared" si="19"/>
        <v>128</v>
      </c>
      <c r="AZ249" s="8">
        <f t="shared" si="20"/>
        <v>32</v>
      </c>
      <c r="BA249" s="8">
        <f t="shared" si="21"/>
        <v>2048</v>
      </c>
      <c r="BB249" s="8">
        <f t="shared" si="22"/>
        <v>1024</v>
      </c>
      <c r="BC249" s="8">
        <f t="shared" si="23"/>
        <v>3310</v>
      </c>
      <c r="BD249" s="8"/>
      <c r="BE249" s="8"/>
      <c r="BF249" s="8"/>
      <c r="BG249" s="8"/>
      <c r="BH249" s="8"/>
    </row>
    <row r="250" spans="2:60">
      <c r="B250" s="11"/>
      <c r="C250" s="12"/>
      <c r="D250" s="8"/>
      <c r="E250" s="13"/>
      <c r="F250" s="14"/>
      <c r="G250" s="13"/>
      <c r="H250" s="1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2">
        <v>2798</v>
      </c>
      <c r="AK250" s="118">
        <v>126</v>
      </c>
      <c r="AL250" s="119" t="s">
        <v>115</v>
      </c>
      <c r="AM250" s="119" t="s">
        <v>119</v>
      </c>
      <c r="AN250" s="119" t="s">
        <v>114</v>
      </c>
      <c r="AO250" s="119" t="s">
        <v>116</v>
      </c>
      <c r="AP250" s="119" t="s">
        <v>120</v>
      </c>
      <c r="AQ250" s="119" t="s">
        <v>118</v>
      </c>
      <c r="AR250" s="119" t="s">
        <v>124</v>
      </c>
      <c r="AS250" s="119" t="s">
        <v>122</v>
      </c>
      <c r="AT250" s="8"/>
      <c r="AU250" s="8">
        <f t="shared" si="15"/>
        <v>4</v>
      </c>
      <c r="AV250" s="8">
        <f t="shared" si="16"/>
        <v>64</v>
      </c>
      <c r="AW250" s="8">
        <f t="shared" si="17"/>
        <v>2</v>
      </c>
      <c r="AX250" s="8">
        <f t="shared" si="18"/>
        <v>8</v>
      </c>
      <c r="AY250" s="8">
        <f t="shared" si="19"/>
        <v>128</v>
      </c>
      <c r="AZ250" s="8">
        <f t="shared" si="20"/>
        <v>32</v>
      </c>
      <c r="BA250" s="8">
        <f t="shared" si="21"/>
        <v>2048</v>
      </c>
      <c r="BB250" s="8">
        <f t="shared" si="22"/>
        <v>512</v>
      </c>
      <c r="BC250" s="8">
        <f t="shared" si="23"/>
        <v>2798</v>
      </c>
      <c r="BD250" s="8"/>
      <c r="BE250" s="8"/>
      <c r="BF250" s="8"/>
      <c r="BG250" s="8"/>
      <c r="BH250" s="8"/>
    </row>
    <row r="251" spans="2:60">
      <c r="B251" s="11"/>
      <c r="C251" s="12"/>
      <c r="D251" s="8"/>
      <c r="E251" s="13"/>
      <c r="F251" s="14"/>
      <c r="G251" s="13"/>
      <c r="H251" s="1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2">
        <v>1774</v>
      </c>
      <c r="AK251" s="118">
        <v>127</v>
      </c>
      <c r="AL251" s="119" t="s">
        <v>120</v>
      </c>
      <c r="AM251" s="119" t="s">
        <v>119</v>
      </c>
      <c r="AN251" s="119" t="s">
        <v>114</v>
      </c>
      <c r="AO251" s="119" t="s">
        <v>115</v>
      </c>
      <c r="AP251" s="119" t="s">
        <v>122</v>
      </c>
      <c r="AQ251" s="119" t="s">
        <v>118</v>
      </c>
      <c r="AR251" s="119" t="s">
        <v>116</v>
      </c>
      <c r="AS251" s="119" t="s">
        <v>123</v>
      </c>
      <c r="AT251" s="8"/>
      <c r="AU251" s="8">
        <f t="shared" si="15"/>
        <v>128</v>
      </c>
      <c r="AV251" s="8">
        <f t="shared" si="16"/>
        <v>64</v>
      </c>
      <c r="AW251" s="8">
        <f t="shared" si="17"/>
        <v>2</v>
      </c>
      <c r="AX251" s="8">
        <f t="shared" si="18"/>
        <v>4</v>
      </c>
      <c r="AY251" s="8">
        <f t="shared" si="19"/>
        <v>512</v>
      </c>
      <c r="AZ251" s="8">
        <f t="shared" si="20"/>
        <v>32</v>
      </c>
      <c r="BA251" s="8">
        <f t="shared" si="21"/>
        <v>8</v>
      </c>
      <c r="BB251" s="8">
        <f t="shared" si="22"/>
        <v>1024</v>
      </c>
      <c r="BC251" s="8">
        <f t="shared" si="23"/>
        <v>1774</v>
      </c>
      <c r="BD251" s="8"/>
      <c r="BE251" s="8"/>
      <c r="BF251" s="8"/>
      <c r="BG251" s="8"/>
      <c r="BH251" s="8"/>
    </row>
    <row r="252" spans="2:60">
      <c r="B252" s="11"/>
      <c r="C252" s="12"/>
      <c r="D252" s="8"/>
      <c r="E252" s="13"/>
      <c r="F252" s="14"/>
      <c r="G252" s="13"/>
      <c r="H252" s="15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2">
        <v>2542</v>
      </c>
      <c r="AK252" s="118">
        <v>128</v>
      </c>
      <c r="AL252" s="119" t="s">
        <v>115</v>
      </c>
      <c r="AM252" s="119" t="s">
        <v>119</v>
      </c>
      <c r="AN252" s="119" t="s">
        <v>114</v>
      </c>
      <c r="AO252" s="119" t="s">
        <v>116</v>
      </c>
      <c r="AP252" s="119" t="s">
        <v>120</v>
      </c>
      <c r="AQ252" s="119" t="s">
        <v>118</v>
      </c>
      <c r="AR252" s="119" t="s">
        <v>124</v>
      </c>
      <c r="AS252" s="119" t="s">
        <v>121</v>
      </c>
      <c r="AT252" s="8"/>
      <c r="AU252" s="8">
        <f t="shared" si="15"/>
        <v>4</v>
      </c>
      <c r="AV252" s="8">
        <f t="shared" si="16"/>
        <v>64</v>
      </c>
      <c r="AW252" s="8">
        <f t="shared" si="17"/>
        <v>2</v>
      </c>
      <c r="AX252" s="8">
        <f t="shared" si="18"/>
        <v>8</v>
      </c>
      <c r="AY252" s="8">
        <f t="shared" si="19"/>
        <v>128</v>
      </c>
      <c r="AZ252" s="8">
        <f t="shared" si="20"/>
        <v>32</v>
      </c>
      <c r="BA252" s="8">
        <f t="shared" si="21"/>
        <v>2048</v>
      </c>
      <c r="BB252" s="8">
        <f t="shared" si="22"/>
        <v>256</v>
      </c>
      <c r="BC252" s="8">
        <f t="shared" si="23"/>
        <v>2542</v>
      </c>
      <c r="BD252" s="8"/>
      <c r="BE252" s="8"/>
      <c r="BF252" s="8"/>
      <c r="BG252" s="8"/>
      <c r="BH252" s="8"/>
    </row>
    <row r="253" spans="2:60">
      <c r="B253" s="11"/>
      <c r="C253" s="12"/>
      <c r="D253" s="8"/>
      <c r="E253" s="13"/>
      <c r="F253" s="14"/>
      <c r="G253" s="13"/>
      <c r="H253" s="1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2">
        <v>1518</v>
      </c>
      <c r="AK253" s="118">
        <v>129</v>
      </c>
      <c r="AL253" s="119" t="s">
        <v>115</v>
      </c>
      <c r="AM253" s="119" t="s">
        <v>119</v>
      </c>
      <c r="AN253" s="119" t="s">
        <v>114</v>
      </c>
      <c r="AO253" s="119" t="s">
        <v>116</v>
      </c>
      <c r="AP253" s="119" t="s">
        <v>120</v>
      </c>
      <c r="AQ253" s="119" t="s">
        <v>118</v>
      </c>
      <c r="AR253" s="119" t="s">
        <v>121</v>
      </c>
      <c r="AS253" s="119" t="s">
        <v>123</v>
      </c>
      <c r="AT253" s="8"/>
      <c r="AU253" s="8">
        <f t="shared" ref="AU253:AU316" si="24">+VLOOKUP(AL253,$Q$105:$R$116,2)</f>
        <v>4</v>
      </c>
      <c r="AV253" s="8">
        <f t="shared" ref="AV253:AV316" si="25">+VLOOKUP(AM253,$Q$105:$R$116,2)</f>
        <v>64</v>
      </c>
      <c r="AW253" s="8">
        <f t="shared" ref="AW253:AW316" si="26">+VLOOKUP(AN253,$Q$105:$R$116,2)</f>
        <v>2</v>
      </c>
      <c r="AX253" s="8">
        <f t="shared" ref="AX253:AX316" si="27">+VLOOKUP(AO253,$Q$105:$R$116,2)</f>
        <v>8</v>
      </c>
      <c r="AY253" s="8">
        <f t="shared" ref="AY253:AY316" si="28">+VLOOKUP(AP253,$Q$105:$R$116,2)</f>
        <v>128</v>
      </c>
      <c r="AZ253" s="8">
        <f t="shared" ref="AZ253:AZ316" si="29">+VLOOKUP(AQ253,$Q$105:$R$116,2)</f>
        <v>32</v>
      </c>
      <c r="BA253" s="8">
        <f t="shared" ref="BA253:BA316" si="30">+VLOOKUP(AR253,$Q$105:$R$116,2)</f>
        <v>256</v>
      </c>
      <c r="BB253" s="8">
        <f t="shared" ref="BB253:BB316" si="31">+VLOOKUP(AS253,$Q$105:$R$116,2)</f>
        <v>1024</v>
      </c>
      <c r="BC253" s="8">
        <f t="shared" ref="BC253:BC316" si="32">+SUM(AU253:BB253)</f>
        <v>1518</v>
      </c>
      <c r="BD253" s="8"/>
      <c r="BE253" s="8"/>
      <c r="BF253" s="8"/>
      <c r="BG253" s="8"/>
      <c r="BH253" s="8"/>
    </row>
    <row r="254" spans="2:60">
      <c r="B254" s="11"/>
      <c r="C254" s="12"/>
      <c r="D254" s="8"/>
      <c r="E254" s="13"/>
      <c r="F254" s="14"/>
      <c r="G254" s="13"/>
      <c r="H254" s="1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2">
        <v>1006</v>
      </c>
      <c r="AK254" s="118">
        <v>130</v>
      </c>
      <c r="AL254" s="119" t="s">
        <v>120</v>
      </c>
      <c r="AM254" s="119" t="s">
        <v>119</v>
      </c>
      <c r="AN254" s="119" t="s">
        <v>114</v>
      </c>
      <c r="AO254" s="119" t="s">
        <v>115</v>
      </c>
      <c r="AP254" s="119" t="s">
        <v>122</v>
      </c>
      <c r="AQ254" s="119" t="s">
        <v>118</v>
      </c>
      <c r="AR254" s="119" t="s">
        <v>116</v>
      </c>
      <c r="AS254" s="119" t="s">
        <v>121</v>
      </c>
      <c r="AT254" s="8"/>
      <c r="AU254" s="8">
        <f t="shared" si="24"/>
        <v>128</v>
      </c>
      <c r="AV254" s="8">
        <f t="shared" si="25"/>
        <v>64</v>
      </c>
      <c r="AW254" s="8">
        <f t="shared" si="26"/>
        <v>2</v>
      </c>
      <c r="AX254" s="8">
        <f t="shared" si="27"/>
        <v>4</v>
      </c>
      <c r="AY254" s="8">
        <f t="shared" si="28"/>
        <v>512</v>
      </c>
      <c r="AZ254" s="8">
        <f t="shared" si="29"/>
        <v>32</v>
      </c>
      <c r="BA254" s="8">
        <f t="shared" si="30"/>
        <v>8</v>
      </c>
      <c r="BB254" s="8">
        <f t="shared" si="31"/>
        <v>256</v>
      </c>
      <c r="BC254" s="8">
        <f t="shared" si="32"/>
        <v>1006</v>
      </c>
      <c r="BD254" s="8"/>
      <c r="BE254" s="8"/>
      <c r="BF254" s="8"/>
      <c r="BG254" s="8"/>
      <c r="BH254" s="8"/>
    </row>
    <row r="255" spans="2:60">
      <c r="B255" s="11"/>
      <c r="C255" s="12"/>
      <c r="D255" s="8"/>
      <c r="E255" s="13"/>
      <c r="F255" s="14"/>
      <c r="G255" s="13"/>
      <c r="H255" s="15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2">
        <v>3870</v>
      </c>
      <c r="AK255" s="118">
        <v>131</v>
      </c>
      <c r="AL255" s="119" t="s">
        <v>117</v>
      </c>
      <c r="AM255" s="119" t="s">
        <v>122</v>
      </c>
      <c r="AN255" s="119" t="s">
        <v>114</v>
      </c>
      <c r="AO255" s="119" t="s">
        <v>115</v>
      </c>
      <c r="AP255" s="119" t="s">
        <v>121</v>
      </c>
      <c r="AQ255" s="119" t="s">
        <v>116</v>
      </c>
      <c r="AR255" s="119" t="s">
        <v>124</v>
      </c>
      <c r="AS255" s="119" t="s">
        <v>123</v>
      </c>
      <c r="AT255" s="8"/>
      <c r="AU255" s="8">
        <f t="shared" si="24"/>
        <v>16</v>
      </c>
      <c r="AV255" s="8">
        <f t="shared" si="25"/>
        <v>512</v>
      </c>
      <c r="AW255" s="8">
        <f t="shared" si="26"/>
        <v>2</v>
      </c>
      <c r="AX255" s="8">
        <f t="shared" si="27"/>
        <v>4</v>
      </c>
      <c r="AY255" s="8">
        <f t="shared" si="28"/>
        <v>256</v>
      </c>
      <c r="AZ255" s="8">
        <f t="shared" si="29"/>
        <v>8</v>
      </c>
      <c r="BA255" s="8">
        <f t="shared" si="30"/>
        <v>2048</v>
      </c>
      <c r="BB255" s="8">
        <f t="shared" si="31"/>
        <v>1024</v>
      </c>
      <c r="BC255" s="8">
        <f t="shared" si="32"/>
        <v>3870</v>
      </c>
      <c r="BD255" s="8"/>
      <c r="BE255" s="8"/>
      <c r="BF255" s="8"/>
      <c r="BG255" s="8"/>
      <c r="BH255" s="8"/>
    </row>
    <row r="256" spans="2:60">
      <c r="B256" s="11"/>
      <c r="C256" s="12"/>
      <c r="D256" s="8"/>
      <c r="E256" s="13"/>
      <c r="F256" s="14"/>
      <c r="G256" s="13"/>
      <c r="H256" s="1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2">
        <v>3742</v>
      </c>
      <c r="AK256" s="118">
        <v>132</v>
      </c>
      <c r="AL256" s="119" t="s">
        <v>117</v>
      </c>
      <c r="AM256" s="119" t="s">
        <v>122</v>
      </c>
      <c r="AN256" s="119" t="s">
        <v>114</v>
      </c>
      <c r="AO256" s="119" t="s">
        <v>115</v>
      </c>
      <c r="AP256" s="119" t="s">
        <v>120</v>
      </c>
      <c r="AQ256" s="119" t="s">
        <v>116</v>
      </c>
      <c r="AR256" s="119" t="s">
        <v>124</v>
      </c>
      <c r="AS256" s="119" t="s">
        <v>123</v>
      </c>
      <c r="AT256" s="8"/>
      <c r="AU256" s="8">
        <f t="shared" si="24"/>
        <v>16</v>
      </c>
      <c r="AV256" s="8">
        <f t="shared" si="25"/>
        <v>512</v>
      </c>
      <c r="AW256" s="8">
        <f t="shared" si="26"/>
        <v>2</v>
      </c>
      <c r="AX256" s="8">
        <f t="shared" si="27"/>
        <v>4</v>
      </c>
      <c r="AY256" s="8">
        <f t="shared" si="28"/>
        <v>128</v>
      </c>
      <c r="AZ256" s="8">
        <f t="shared" si="29"/>
        <v>8</v>
      </c>
      <c r="BA256" s="8">
        <f t="shared" si="30"/>
        <v>2048</v>
      </c>
      <c r="BB256" s="8">
        <f t="shared" si="31"/>
        <v>1024</v>
      </c>
      <c r="BC256" s="8">
        <f t="shared" si="32"/>
        <v>3742</v>
      </c>
      <c r="BD256" s="8"/>
      <c r="BE256" s="8"/>
      <c r="BF256" s="8"/>
      <c r="BG256" s="8"/>
      <c r="BH256" s="8"/>
    </row>
    <row r="257" spans="2:60">
      <c r="B257" s="11"/>
      <c r="C257" s="12"/>
      <c r="D257" s="8"/>
      <c r="E257" s="13"/>
      <c r="F257" s="14"/>
      <c r="G257" s="13"/>
      <c r="H257" s="1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2">
        <v>3486</v>
      </c>
      <c r="AK257" s="118">
        <v>133</v>
      </c>
      <c r="AL257" s="119" t="s">
        <v>117</v>
      </c>
      <c r="AM257" s="119" t="s">
        <v>121</v>
      </c>
      <c r="AN257" s="119" t="s">
        <v>114</v>
      </c>
      <c r="AO257" s="119" t="s">
        <v>115</v>
      </c>
      <c r="AP257" s="119" t="s">
        <v>120</v>
      </c>
      <c r="AQ257" s="119" t="s">
        <v>116</v>
      </c>
      <c r="AR257" s="119" t="s">
        <v>124</v>
      </c>
      <c r="AS257" s="119" t="s">
        <v>123</v>
      </c>
      <c r="AT257" s="8"/>
      <c r="AU257" s="8">
        <f t="shared" si="24"/>
        <v>16</v>
      </c>
      <c r="AV257" s="8">
        <f t="shared" si="25"/>
        <v>256</v>
      </c>
      <c r="AW257" s="8">
        <f t="shared" si="26"/>
        <v>2</v>
      </c>
      <c r="AX257" s="8">
        <f t="shared" si="27"/>
        <v>4</v>
      </c>
      <c r="AY257" s="8">
        <f t="shared" si="28"/>
        <v>128</v>
      </c>
      <c r="AZ257" s="8">
        <f t="shared" si="29"/>
        <v>8</v>
      </c>
      <c r="BA257" s="8">
        <f t="shared" si="30"/>
        <v>2048</v>
      </c>
      <c r="BB257" s="8">
        <f t="shared" si="31"/>
        <v>1024</v>
      </c>
      <c r="BC257" s="8">
        <f t="shared" si="32"/>
        <v>3486</v>
      </c>
      <c r="BD257" s="8"/>
      <c r="BE257" s="8"/>
      <c r="BF257" s="8"/>
      <c r="BG257" s="8"/>
      <c r="BH257" s="8"/>
    </row>
    <row r="258" spans="2:60">
      <c r="B258" s="11"/>
      <c r="C258" s="12"/>
      <c r="D258" s="8"/>
      <c r="E258" s="13"/>
      <c r="F258" s="14"/>
      <c r="G258" s="13"/>
      <c r="H258" s="1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2">
        <v>2974</v>
      </c>
      <c r="AK258" s="118">
        <v>134</v>
      </c>
      <c r="AL258" s="119" t="s">
        <v>117</v>
      </c>
      <c r="AM258" s="119" t="s">
        <v>122</v>
      </c>
      <c r="AN258" s="119" t="s">
        <v>114</v>
      </c>
      <c r="AO258" s="119" t="s">
        <v>115</v>
      </c>
      <c r="AP258" s="119" t="s">
        <v>120</v>
      </c>
      <c r="AQ258" s="119" t="s">
        <v>116</v>
      </c>
      <c r="AR258" s="119" t="s">
        <v>124</v>
      </c>
      <c r="AS258" s="119" t="s">
        <v>121</v>
      </c>
      <c r="AT258" s="8"/>
      <c r="AU258" s="8">
        <f t="shared" si="24"/>
        <v>16</v>
      </c>
      <c r="AV258" s="8">
        <f t="shared" si="25"/>
        <v>512</v>
      </c>
      <c r="AW258" s="8">
        <f t="shared" si="26"/>
        <v>2</v>
      </c>
      <c r="AX258" s="8">
        <f t="shared" si="27"/>
        <v>4</v>
      </c>
      <c r="AY258" s="8">
        <f t="shared" si="28"/>
        <v>128</v>
      </c>
      <c r="AZ258" s="8">
        <f t="shared" si="29"/>
        <v>8</v>
      </c>
      <c r="BA258" s="8">
        <f t="shared" si="30"/>
        <v>2048</v>
      </c>
      <c r="BB258" s="8">
        <f t="shared" si="31"/>
        <v>256</v>
      </c>
      <c r="BC258" s="8">
        <f t="shared" si="32"/>
        <v>2974</v>
      </c>
      <c r="BD258" s="8"/>
      <c r="BE258" s="8"/>
      <c r="BF258" s="8"/>
      <c r="BG258" s="8"/>
      <c r="BH258" s="8"/>
    </row>
    <row r="259" spans="2:60">
      <c r="B259" s="11"/>
      <c r="C259" s="12"/>
      <c r="D259" s="8"/>
      <c r="E259" s="13"/>
      <c r="F259" s="14"/>
      <c r="G259" s="13"/>
      <c r="H259" s="15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2">
        <v>1950</v>
      </c>
      <c r="AK259" s="118">
        <v>135</v>
      </c>
      <c r="AL259" s="119" t="s">
        <v>117</v>
      </c>
      <c r="AM259" s="119" t="s">
        <v>122</v>
      </c>
      <c r="AN259" s="119" t="s">
        <v>114</v>
      </c>
      <c r="AO259" s="119" t="s">
        <v>115</v>
      </c>
      <c r="AP259" s="119" t="s">
        <v>120</v>
      </c>
      <c r="AQ259" s="119" t="s">
        <v>116</v>
      </c>
      <c r="AR259" s="119" t="s">
        <v>121</v>
      </c>
      <c r="AS259" s="119" t="s">
        <v>123</v>
      </c>
      <c r="AT259" s="8"/>
      <c r="AU259" s="8">
        <f t="shared" si="24"/>
        <v>16</v>
      </c>
      <c r="AV259" s="8">
        <f t="shared" si="25"/>
        <v>512</v>
      </c>
      <c r="AW259" s="8">
        <f t="shared" si="26"/>
        <v>2</v>
      </c>
      <c r="AX259" s="8">
        <f t="shared" si="27"/>
        <v>4</v>
      </c>
      <c r="AY259" s="8">
        <f t="shared" si="28"/>
        <v>128</v>
      </c>
      <c r="AZ259" s="8">
        <f t="shared" si="29"/>
        <v>8</v>
      </c>
      <c r="BA259" s="8">
        <f t="shared" si="30"/>
        <v>256</v>
      </c>
      <c r="BB259" s="8">
        <f t="shared" si="31"/>
        <v>1024</v>
      </c>
      <c r="BC259" s="8">
        <f t="shared" si="32"/>
        <v>1950</v>
      </c>
      <c r="BD259" s="8"/>
      <c r="BE259" s="8"/>
      <c r="BF259" s="8"/>
      <c r="BG259" s="8"/>
      <c r="BH259" s="8"/>
    </row>
    <row r="260" spans="2:60">
      <c r="B260" s="11"/>
      <c r="C260" s="12"/>
      <c r="D260" s="8"/>
      <c r="E260" s="13"/>
      <c r="F260" s="14"/>
      <c r="G260" s="13"/>
      <c r="H260" s="1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2">
        <v>3678</v>
      </c>
      <c r="AK260" s="118">
        <v>136</v>
      </c>
      <c r="AL260" s="119" t="s">
        <v>117</v>
      </c>
      <c r="AM260" s="119" t="s">
        <v>119</v>
      </c>
      <c r="AN260" s="119" t="s">
        <v>114</v>
      </c>
      <c r="AO260" s="119" t="s">
        <v>115</v>
      </c>
      <c r="AP260" s="119" t="s">
        <v>122</v>
      </c>
      <c r="AQ260" s="119" t="s">
        <v>116</v>
      </c>
      <c r="AR260" s="119" t="s">
        <v>124</v>
      </c>
      <c r="AS260" s="119" t="s">
        <v>123</v>
      </c>
      <c r="AT260" s="8"/>
      <c r="AU260" s="8">
        <f t="shared" si="24"/>
        <v>16</v>
      </c>
      <c r="AV260" s="8">
        <f t="shared" si="25"/>
        <v>64</v>
      </c>
      <c r="AW260" s="8">
        <f t="shared" si="26"/>
        <v>2</v>
      </c>
      <c r="AX260" s="8">
        <f t="shared" si="27"/>
        <v>4</v>
      </c>
      <c r="AY260" s="8">
        <f t="shared" si="28"/>
        <v>512</v>
      </c>
      <c r="AZ260" s="8">
        <f t="shared" si="29"/>
        <v>8</v>
      </c>
      <c r="BA260" s="8">
        <f t="shared" si="30"/>
        <v>2048</v>
      </c>
      <c r="BB260" s="8">
        <f t="shared" si="31"/>
        <v>1024</v>
      </c>
      <c r="BC260" s="8">
        <f t="shared" si="32"/>
        <v>3678</v>
      </c>
      <c r="BD260" s="8"/>
      <c r="BE260" s="8"/>
      <c r="BF260" s="8"/>
      <c r="BG260" s="8"/>
      <c r="BH260" s="8"/>
    </row>
    <row r="261" spans="2:60">
      <c r="B261" s="11"/>
      <c r="C261" s="12"/>
      <c r="D261" s="8"/>
      <c r="E261" s="13"/>
      <c r="F261" s="14"/>
      <c r="G261" s="13"/>
      <c r="H261" s="1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2">
        <v>3422</v>
      </c>
      <c r="AK261" s="118">
        <v>137</v>
      </c>
      <c r="AL261" s="119" t="s">
        <v>117</v>
      </c>
      <c r="AM261" s="119" t="s">
        <v>119</v>
      </c>
      <c r="AN261" s="119" t="s">
        <v>114</v>
      </c>
      <c r="AO261" s="119" t="s">
        <v>115</v>
      </c>
      <c r="AP261" s="119" t="s">
        <v>121</v>
      </c>
      <c r="AQ261" s="119" t="s">
        <v>116</v>
      </c>
      <c r="AR261" s="119" t="s">
        <v>124</v>
      </c>
      <c r="AS261" s="119" t="s">
        <v>123</v>
      </c>
      <c r="AT261" s="8"/>
      <c r="AU261" s="8">
        <f t="shared" si="24"/>
        <v>16</v>
      </c>
      <c r="AV261" s="8">
        <f t="shared" si="25"/>
        <v>64</v>
      </c>
      <c r="AW261" s="8">
        <f t="shared" si="26"/>
        <v>2</v>
      </c>
      <c r="AX261" s="8">
        <f t="shared" si="27"/>
        <v>4</v>
      </c>
      <c r="AY261" s="8">
        <f t="shared" si="28"/>
        <v>256</v>
      </c>
      <c r="AZ261" s="8">
        <f t="shared" si="29"/>
        <v>8</v>
      </c>
      <c r="BA261" s="8">
        <f t="shared" si="30"/>
        <v>2048</v>
      </c>
      <c r="BB261" s="8">
        <f t="shared" si="31"/>
        <v>1024</v>
      </c>
      <c r="BC261" s="8">
        <f t="shared" si="32"/>
        <v>3422</v>
      </c>
      <c r="BD261" s="8"/>
      <c r="BE261" s="8"/>
      <c r="BF261" s="8"/>
      <c r="BG261" s="8"/>
      <c r="BH261" s="8"/>
    </row>
    <row r="262" spans="2:60">
      <c r="B262" s="11"/>
      <c r="C262" s="12"/>
      <c r="D262" s="8"/>
      <c r="E262" s="13"/>
      <c r="F262" s="14"/>
      <c r="G262" s="13"/>
      <c r="H262" s="1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2">
        <v>2910</v>
      </c>
      <c r="AK262" s="118">
        <v>138</v>
      </c>
      <c r="AL262" s="119" t="s">
        <v>117</v>
      </c>
      <c r="AM262" s="119" t="s">
        <v>119</v>
      </c>
      <c r="AN262" s="119" t="s">
        <v>114</v>
      </c>
      <c r="AO262" s="119" t="s">
        <v>115</v>
      </c>
      <c r="AP262" s="119" t="s">
        <v>122</v>
      </c>
      <c r="AQ262" s="119" t="s">
        <v>116</v>
      </c>
      <c r="AR262" s="119" t="s">
        <v>124</v>
      </c>
      <c r="AS262" s="119" t="s">
        <v>121</v>
      </c>
      <c r="AT262" s="8"/>
      <c r="AU262" s="8">
        <f t="shared" si="24"/>
        <v>16</v>
      </c>
      <c r="AV262" s="8">
        <f t="shared" si="25"/>
        <v>64</v>
      </c>
      <c r="AW262" s="8">
        <f t="shared" si="26"/>
        <v>2</v>
      </c>
      <c r="AX262" s="8">
        <f t="shared" si="27"/>
        <v>4</v>
      </c>
      <c r="AY262" s="8">
        <f t="shared" si="28"/>
        <v>512</v>
      </c>
      <c r="AZ262" s="8">
        <f t="shared" si="29"/>
        <v>8</v>
      </c>
      <c r="BA262" s="8">
        <f t="shared" si="30"/>
        <v>2048</v>
      </c>
      <c r="BB262" s="8">
        <f t="shared" si="31"/>
        <v>256</v>
      </c>
      <c r="BC262" s="8">
        <f t="shared" si="32"/>
        <v>2910</v>
      </c>
      <c r="BD262" s="8"/>
      <c r="BE262" s="8"/>
      <c r="BF262" s="8"/>
      <c r="BG262" s="8"/>
      <c r="BH262" s="8"/>
    </row>
    <row r="263" spans="2:60">
      <c r="B263" s="11"/>
      <c r="C263" s="12"/>
      <c r="D263" s="8"/>
      <c r="E263" s="13"/>
      <c r="F263" s="14"/>
      <c r="G263" s="13"/>
      <c r="H263" s="15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2">
        <v>1886</v>
      </c>
      <c r="AK263" s="118">
        <v>139</v>
      </c>
      <c r="AL263" s="119" t="s">
        <v>117</v>
      </c>
      <c r="AM263" s="119" t="s">
        <v>119</v>
      </c>
      <c r="AN263" s="119" t="s">
        <v>114</v>
      </c>
      <c r="AO263" s="119" t="s">
        <v>115</v>
      </c>
      <c r="AP263" s="119" t="s">
        <v>122</v>
      </c>
      <c r="AQ263" s="119" t="s">
        <v>116</v>
      </c>
      <c r="AR263" s="119" t="s">
        <v>121</v>
      </c>
      <c r="AS263" s="119" t="s">
        <v>123</v>
      </c>
      <c r="AT263" s="8"/>
      <c r="AU263" s="8">
        <f t="shared" si="24"/>
        <v>16</v>
      </c>
      <c r="AV263" s="8">
        <f t="shared" si="25"/>
        <v>64</v>
      </c>
      <c r="AW263" s="8">
        <f t="shared" si="26"/>
        <v>2</v>
      </c>
      <c r="AX263" s="8">
        <f t="shared" si="27"/>
        <v>4</v>
      </c>
      <c r="AY263" s="8">
        <f t="shared" si="28"/>
        <v>512</v>
      </c>
      <c r="AZ263" s="8">
        <f t="shared" si="29"/>
        <v>8</v>
      </c>
      <c r="BA263" s="8">
        <f t="shared" si="30"/>
        <v>256</v>
      </c>
      <c r="BB263" s="8">
        <f t="shared" si="31"/>
        <v>1024</v>
      </c>
      <c r="BC263" s="8">
        <f t="shared" si="32"/>
        <v>1886</v>
      </c>
      <c r="BD263" s="8"/>
      <c r="BE263" s="8"/>
      <c r="BF263" s="8"/>
      <c r="BG263" s="8"/>
      <c r="BH263" s="8"/>
    </row>
    <row r="264" spans="2:60">
      <c r="B264" s="11"/>
      <c r="C264" s="12"/>
      <c r="D264" s="8"/>
      <c r="E264" s="13"/>
      <c r="F264" s="14"/>
      <c r="G264" s="13"/>
      <c r="H264" s="1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2">
        <v>3294</v>
      </c>
      <c r="AK264" s="118">
        <v>140</v>
      </c>
      <c r="AL264" s="119" t="s">
        <v>117</v>
      </c>
      <c r="AM264" s="119" t="s">
        <v>119</v>
      </c>
      <c r="AN264" s="119" t="s">
        <v>114</v>
      </c>
      <c r="AO264" s="119" t="s">
        <v>115</v>
      </c>
      <c r="AP264" s="119" t="s">
        <v>120</v>
      </c>
      <c r="AQ264" s="119" t="s">
        <v>116</v>
      </c>
      <c r="AR264" s="119" t="s">
        <v>124</v>
      </c>
      <c r="AS264" s="119" t="s">
        <v>123</v>
      </c>
      <c r="AT264" s="8"/>
      <c r="AU264" s="8">
        <f t="shared" si="24"/>
        <v>16</v>
      </c>
      <c r="AV264" s="8">
        <f t="shared" si="25"/>
        <v>64</v>
      </c>
      <c r="AW264" s="8">
        <f t="shared" si="26"/>
        <v>2</v>
      </c>
      <c r="AX264" s="8">
        <f t="shared" si="27"/>
        <v>4</v>
      </c>
      <c r="AY264" s="8">
        <f t="shared" si="28"/>
        <v>128</v>
      </c>
      <c r="AZ264" s="8">
        <f t="shared" si="29"/>
        <v>8</v>
      </c>
      <c r="BA264" s="8">
        <f t="shared" si="30"/>
        <v>2048</v>
      </c>
      <c r="BB264" s="8">
        <f t="shared" si="31"/>
        <v>1024</v>
      </c>
      <c r="BC264" s="8">
        <f t="shared" si="32"/>
        <v>3294</v>
      </c>
      <c r="BD264" s="8"/>
      <c r="BE264" s="8"/>
      <c r="BF264" s="8"/>
      <c r="BG264" s="8"/>
      <c r="BH264" s="8"/>
    </row>
    <row r="265" spans="2:60">
      <c r="B265" s="11"/>
      <c r="C265" s="12"/>
      <c r="D265" s="8"/>
      <c r="E265" s="13"/>
      <c r="F265" s="14"/>
      <c r="G265" s="13"/>
      <c r="H265" s="1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2">
        <v>2782</v>
      </c>
      <c r="AK265" s="118">
        <v>141</v>
      </c>
      <c r="AL265" s="119" t="s">
        <v>120</v>
      </c>
      <c r="AM265" s="119" t="s">
        <v>119</v>
      </c>
      <c r="AN265" s="119" t="s">
        <v>114</v>
      </c>
      <c r="AO265" s="119" t="s">
        <v>115</v>
      </c>
      <c r="AP265" s="119" t="s">
        <v>122</v>
      </c>
      <c r="AQ265" s="119" t="s">
        <v>116</v>
      </c>
      <c r="AR265" s="119" t="s">
        <v>124</v>
      </c>
      <c r="AS265" s="119" t="s">
        <v>117</v>
      </c>
      <c r="AT265" s="8"/>
      <c r="AU265" s="8">
        <f t="shared" si="24"/>
        <v>128</v>
      </c>
      <c r="AV265" s="8">
        <f t="shared" si="25"/>
        <v>64</v>
      </c>
      <c r="AW265" s="8">
        <f t="shared" si="26"/>
        <v>2</v>
      </c>
      <c r="AX265" s="8">
        <f t="shared" si="27"/>
        <v>4</v>
      </c>
      <c r="AY265" s="8">
        <f t="shared" si="28"/>
        <v>512</v>
      </c>
      <c r="AZ265" s="8">
        <f t="shared" si="29"/>
        <v>8</v>
      </c>
      <c r="BA265" s="8">
        <f t="shared" si="30"/>
        <v>2048</v>
      </c>
      <c r="BB265" s="8">
        <f t="shared" si="31"/>
        <v>16</v>
      </c>
      <c r="BC265" s="8">
        <f t="shared" si="32"/>
        <v>2782</v>
      </c>
      <c r="BD265" s="8"/>
      <c r="BE265" s="8"/>
      <c r="BF265" s="8"/>
      <c r="BG265" s="8"/>
      <c r="BH265" s="8"/>
    </row>
    <row r="266" spans="2:60">
      <c r="B266" s="11"/>
      <c r="C266" s="12"/>
      <c r="D266" s="8"/>
      <c r="E266" s="13"/>
      <c r="F266" s="14"/>
      <c r="G266" s="13"/>
      <c r="H266" s="1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2">
        <v>1758</v>
      </c>
      <c r="AK266" s="118">
        <v>142</v>
      </c>
      <c r="AL266" s="119" t="s">
        <v>120</v>
      </c>
      <c r="AM266" s="119" t="s">
        <v>119</v>
      </c>
      <c r="AN266" s="119" t="s">
        <v>114</v>
      </c>
      <c r="AO266" s="119" t="s">
        <v>115</v>
      </c>
      <c r="AP266" s="119" t="s">
        <v>122</v>
      </c>
      <c r="AQ266" s="119" t="s">
        <v>116</v>
      </c>
      <c r="AR266" s="119" t="s">
        <v>117</v>
      </c>
      <c r="AS266" s="119" t="s">
        <v>123</v>
      </c>
      <c r="AT266" s="8"/>
      <c r="AU266" s="8">
        <f t="shared" si="24"/>
        <v>128</v>
      </c>
      <c r="AV266" s="8">
        <f t="shared" si="25"/>
        <v>64</v>
      </c>
      <c r="AW266" s="8">
        <f t="shared" si="26"/>
        <v>2</v>
      </c>
      <c r="AX266" s="8">
        <f t="shared" si="27"/>
        <v>4</v>
      </c>
      <c r="AY266" s="8">
        <f t="shared" si="28"/>
        <v>512</v>
      </c>
      <c r="AZ266" s="8">
        <f t="shared" si="29"/>
        <v>8</v>
      </c>
      <c r="BA266" s="8">
        <f t="shared" si="30"/>
        <v>16</v>
      </c>
      <c r="BB266" s="8">
        <f t="shared" si="31"/>
        <v>1024</v>
      </c>
      <c r="BC266" s="8">
        <f t="shared" si="32"/>
        <v>1758</v>
      </c>
      <c r="BD266" s="8"/>
      <c r="BE266" s="8"/>
      <c r="BF266" s="8"/>
      <c r="BG266" s="8"/>
      <c r="BH266" s="8"/>
    </row>
    <row r="267" spans="2:60">
      <c r="B267" s="11"/>
      <c r="C267" s="12"/>
      <c r="D267" s="8"/>
      <c r="E267" s="13"/>
      <c r="F267" s="14"/>
      <c r="G267" s="13"/>
      <c r="H267" s="15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2">
        <v>2526</v>
      </c>
      <c r="AK267" s="118">
        <v>143</v>
      </c>
      <c r="AL267" s="119" t="s">
        <v>117</v>
      </c>
      <c r="AM267" s="119" t="s">
        <v>119</v>
      </c>
      <c r="AN267" s="119" t="s">
        <v>114</v>
      </c>
      <c r="AO267" s="119" t="s">
        <v>115</v>
      </c>
      <c r="AP267" s="119" t="s">
        <v>120</v>
      </c>
      <c r="AQ267" s="119" t="s">
        <v>116</v>
      </c>
      <c r="AR267" s="119" t="s">
        <v>124</v>
      </c>
      <c r="AS267" s="119" t="s">
        <v>121</v>
      </c>
      <c r="AT267" s="8"/>
      <c r="AU267" s="8">
        <f t="shared" si="24"/>
        <v>16</v>
      </c>
      <c r="AV267" s="8">
        <f t="shared" si="25"/>
        <v>64</v>
      </c>
      <c r="AW267" s="8">
        <f t="shared" si="26"/>
        <v>2</v>
      </c>
      <c r="AX267" s="8">
        <f t="shared" si="27"/>
        <v>4</v>
      </c>
      <c r="AY267" s="8">
        <f t="shared" si="28"/>
        <v>128</v>
      </c>
      <c r="AZ267" s="8">
        <f t="shared" si="29"/>
        <v>8</v>
      </c>
      <c r="BA267" s="8">
        <f t="shared" si="30"/>
        <v>2048</v>
      </c>
      <c r="BB267" s="8">
        <f t="shared" si="31"/>
        <v>256</v>
      </c>
      <c r="BC267" s="8">
        <f t="shared" si="32"/>
        <v>2526</v>
      </c>
      <c r="BD267" s="8"/>
      <c r="BE267" s="8"/>
      <c r="BF267" s="8"/>
      <c r="BG267" s="8"/>
      <c r="BH267" s="8"/>
    </row>
    <row r="268" spans="2:60">
      <c r="B268" s="11"/>
      <c r="C268" s="12"/>
      <c r="D268" s="8"/>
      <c r="E268" s="13"/>
      <c r="F268" s="14"/>
      <c r="G268" s="13"/>
      <c r="H268" s="1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2">
        <v>1502</v>
      </c>
      <c r="AK268" s="118">
        <v>144</v>
      </c>
      <c r="AL268" s="119" t="s">
        <v>117</v>
      </c>
      <c r="AM268" s="119" t="s">
        <v>119</v>
      </c>
      <c r="AN268" s="119" t="s">
        <v>114</v>
      </c>
      <c r="AO268" s="119" t="s">
        <v>115</v>
      </c>
      <c r="AP268" s="119" t="s">
        <v>120</v>
      </c>
      <c r="AQ268" s="119" t="s">
        <v>116</v>
      </c>
      <c r="AR268" s="119" t="s">
        <v>121</v>
      </c>
      <c r="AS268" s="119" t="s">
        <v>123</v>
      </c>
      <c r="AT268" s="8"/>
      <c r="AU268" s="8">
        <f t="shared" si="24"/>
        <v>16</v>
      </c>
      <c r="AV268" s="8">
        <f t="shared" si="25"/>
        <v>64</v>
      </c>
      <c r="AW268" s="8">
        <f t="shared" si="26"/>
        <v>2</v>
      </c>
      <c r="AX268" s="8">
        <f t="shared" si="27"/>
        <v>4</v>
      </c>
      <c r="AY268" s="8">
        <f t="shared" si="28"/>
        <v>128</v>
      </c>
      <c r="AZ268" s="8">
        <f t="shared" si="29"/>
        <v>8</v>
      </c>
      <c r="BA268" s="8">
        <f t="shared" si="30"/>
        <v>256</v>
      </c>
      <c r="BB268" s="8">
        <f t="shared" si="31"/>
        <v>1024</v>
      </c>
      <c r="BC268" s="8">
        <f t="shared" si="32"/>
        <v>1502</v>
      </c>
      <c r="BD268" s="8"/>
      <c r="BE268" s="8"/>
      <c r="BF268" s="8"/>
      <c r="BG268" s="8"/>
      <c r="BH268" s="8"/>
    </row>
    <row r="269" spans="2:60">
      <c r="B269" s="11"/>
      <c r="C269" s="12"/>
      <c r="D269" s="8"/>
      <c r="E269" s="13"/>
      <c r="F269" s="14"/>
      <c r="G269" s="13"/>
      <c r="H269" s="1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2">
        <v>990</v>
      </c>
      <c r="AK269" s="118">
        <v>145</v>
      </c>
      <c r="AL269" s="119" t="s">
        <v>120</v>
      </c>
      <c r="AM269" s="119" t="s">
        <v>119</v>
      </c>
      <c r="AN269" s="119" t="s">
        <v>114</v>
      </c>
      <c r="AO269" s="119" t="s">
        <v>115</v>
      </c>
      <c r="AP269" s="119" t="s">
        <v>122</v>
      </c>
      <c r="AQ269" s="119" t="s">
        <v>116</v>
      </c>
      <c r="AR269" s="119" t="s">
        <v>117</v>
      </c>
      <c r="AS269" s="119" t="s">
        <v>121</v>
      </c>
      <c r="AT269" s="8"/>
      <c r="AU269" s="8">
        <f t="shared" si="24"/>
        <v>128</v>
      </c>
      <c r="AV269" s="8">
        <f t="shared" si="25"/>
        <v>64</v>
      </c>
      <c r="AW269" s="8">
        <f t="shared" si="26"/>
        <v>2</v>
      </c>
      <c r="AX269" s="8">
        <f t="shared" si="27"/>
        <v>4</v>
      </c>
      <c r="AY269" s="8">
        <f t="shared" si="28"/>
        <v>512</v>
      </c>
      <c r="AZ269" s="8">
        <f t="shared" si="29"/>
        <v>8</v>
      </c>
      <c r="BA269" s="8">
        <f t="shared" si="30"/>
        <v>16</v>
      </c>
      <c r="BB269" s="8">
        <f t="shared" si="31"/>
        <v>256</v>
      </c>
      <c r="BC269" s="8">
        <f t="shared" si="32"/>
        <v>990</v>
      </c>
      <c r="BD269" s="8"/>
      <c r="BE269" s="8"/>
      <c r="BF269" s="8"/>
      <c r="BG269" s="8"/>
      <c r="BH269" s="8"/>
    </row>
    <row r="270" spans="2:60">
      <c r="B270" s="11"/>
      <c r="C270" s="12"/>
      <c r="D270" s="8"/>
      <c r="E270" s="13"/>
      <c r="F270" s="14"/>
      <c r="G270" s="13"/>
      <c r="H270" s="1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2">
        <v>3646</v>
      </c>
      <c r="AK270" s="118">
        <v>146</v>
      </c>
      <c r="AL270" s="119" t="s">
        <v>115</v>
      </c>
      <c r="AM270" s="119" t="s">
        <v>122</v>
      </c>
      <c r="AN270" s="119" t="s">
        <v>114</v>
      </c>
      <c r="AO270" s="119" t="s">
        <v>116</v>
      </c>
      <c r="AP270" s="119" t="s">
        <v>117</v>
      </c>
      <c r="AQ270" s="119" t="s">
        <v>118</v>
      </c>
      <c r="AR270" s="119" t="s">
        <v>124</v>
      </c>
      <c r="AS270" s="119" t="s">
        <v>123</v>
      </c>
      <c r="AT270" s="8"/>
      <c r="AU270" s="8">
        <f t="shared" si="24"/>
        <v>4</v>
      </c>
      <c r="AV270" s="8">
        <f t="shared" si="25"/>
        <v>512</v>
      </c>
      <c r="AW270" s="8">
        <f t="shared" si="26"/>
        <v>2</v>
      </c>
      <c r="AX270" s="8">
        <f t="shared" si="27"/>
        <v>8</v>
      </c>
      <c r="AY270" s="8">
        <f t="shared" si="28"/>
        <v>16</v>
      </c>
      <c r="AZ270" s="8">
        <f t="shared" si="29"/>
        <v>32</v>
      </c>
      <c r="BA270" s="8">
        <f t="shared" si="30"/>
        <v>2048</v>
      </c>
      <c r="BB270" s="8">
        <f t="shared" si="31"/>
        <v>1024</v>
      </c>
      <c r="BC270" s="8">
        <f t="shared" si="32"/>
        <v>3646</v>
      </c>
      <c r="BD270" s="8"/>
      <c r="BE270" s="8"/>
      <c r="BF270" s="8"/>
      <c r="BG270" s="8"/>
      <c r="BH270" s="8"/>
    </row>
    <row r="271" spans="2:60">
      <c r="B271" s="11"/>
      <c r="C271" s="12"/>
      <c r="D271" s="8"/>
      <c r="E271" s="13"/>
      <c r="F271" s="14"/>
      <c r="G271" s="13"/>
      <c r="H271" s="15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2">
        <v>3390</v>
      </c>
      <c r="AK271" s="118">
        <v>147</v>
      </c>
      <c r="AL271" s="119" t="s">
        <v>115</v>
      </c>
      <c r="AM271" s="119" t="s">
        <v>117</v>
      </c>
      <c r="AN271" s="119" t="s">
        <v>114</v>
      </c>
      <c r="AO271" s="119" t="s">
        <v>116</v>
      </c>
      <c r="AP271" s="119" t="s">
        <v>121</v>
      </c>
      <c r="AQ271" s="119" t="s">
        <v>118</v>
      </c>
      <c r="AR271" s="119" t="s">
        <v>124</v>
      </c>
      <c r="AS271" s="119" t="s">
        <v>123</v>
      </c>
      <c r="AT271" s="8"/>
      <c r="AU271" s="8">
        <f t="shared" si="24"/>
        <v>4</v>
      </c>
      <c r="AV271" s="8">
        <f t="shared" si="25"/>
        <v>16</v>
      </c>
      <c r="AW271" s="8">
        <f t="shared" si="26"/>
        <v>2</v>
      </c>
      <c r="AX271" s="8">
        <f t="shared" si="27"/>
        <v>8</v>
      </c>
      <c r="AY271" s="8">
        <f t="shared" si="28"/>
        <v>256</v>
      </c>
      <c r="AZ271" s="8">
        <f t="shared" si="29"/>
        <v>32</v>
      </c>
      <c r="BA271" s="8">
        <f t="shared" si="30"/>
        <v>2048</v>
      </c>
      <c r="BB271" s="8">
        <f t="shared" si="31"/>
        <v>1024</v>
      </c>
      <c r="BC271" s="8">
        <f t="shared" si="32"/>
        <v>3390</v>
      </c>
      <c r="BD271" s="8"/>
      <c r="BE271" s="8"/>
      <c r="BF271" s="8"/>
      <c r="BG271" s="8"/>
      <c r="BH271" s="8"/>
    </row>
    <row r="272" spans="2:60">
      <c r="B272" s="11"/>
      <c r="C272" s="12"/>
      <c r="D272" s="8"/>
      <c r="E272" s="13"/>
      <c r="F272" s="14"/>
      <c r="G272" s="13"/>
      <c r="H272" s="1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2">
        <v>2878</v>
      </c>
      <c r="AK272" s="118">
        <v>148</v>
      </c>
      <c r="AL272" s="119" t="s">
        <v>115</v>
      </c>
      <c r="AM272" s="119" t="s">
        <v>122</v>
      </c>
      <c r="AN272" s="119" t="s">
        <v>114</v>
      </c>
      <c r="AO272" s="119" t="s">
        <v>116</v>
      </c>
      <c r="AP272" s="119" t="s">
        <v>117</v>
      </c>
      <c r="AQ272" s="119" t="s">
        <v>118</v>
      </c>
      <c r="AR272" s="119" t="s">
        <v>124</v>
      </c>
      <c r="AS272" s="119" t="s">
        <v>121</v>
      </c>
      <c r="AT272" s="8"/>
      <c r="AU272" s="8">
        <f t="shared" si="24"/>
        <v>4</v>
      </c>
      <c r="AV272" s="8">
        <f t="shared" si="25"/>
        <v>512</v>
      </c>
      <c r="AW272" s="8">
        <f t="shared" si="26"/>
        <v>2</v>
      </c>
      <c r="AX272" s="8">
        <f t="shared" si="27"/>
        <v>8</v>
      </c>
      <c r="AY272" s="8">
        <f t="shared" si="28"/>
        <v>16</v>
      </c>
      <c r="AZ272" s="8">
        <f t="shared" si="29"/>
        <v>32</v>
      </c>
      <c r="BA272" s="8">
        <f t="shared" si="30"/>
        <v>2048</v>
      </c>
      <c r="BB272" s="8">
        <f t="shared" si="31"/>
        <v>256</v>
      </c>
      <c r="BC272" s="8">
        <f t="shared" si="32"/>
        <v>2878</v>
      </c>
      <c r="BD272" s="8"/>
      <c r="BE272" s="8"/>
      <c r="BF272" s="8"/>
      <c r="BG272" s="8"/>
      <c r="BH272" s="8"/>
    </row>
    <row r="273" spans="2:60">
      <c r="B273" s="11"/>
      <c r="C273" s="12"/>
      <c r="D273" s="8"/>
      <c r="E273" s="13"/>
      <c r="F273" s="14"/>
      <c r="G273" s="13"/>
      <c r="H273" s="1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2">
        <v>1854</v>
      </c>
      <c r="AK273" s="118">
        <v>149</v>
      </c>
      <c r="AL273" s="119" t="s">
        <v>115</v>
      </c>
      <c r="AM273" s="119" t="s">
        <v>122</v>
      </c>
      <c r="AN273" s="119" t="s">
        <v>114</v>
      </c>
      <c r="AO273" s="119" t="s">
        <v>116</v>
      </c>
      <c r="AP273" s="119" t="s">
        <v>117</v>
      </c>
      <c r="AQ273" s="119" t="s">
        <v>118</v>
      </c>
      <c r="AR273" s="119" t="s">
        <v>121</v>
      </c>
      <c r="AS273" s="119" t="s">
        <v>123</v>
      </c>
      <c r="AT273" s="8"/>
      <c r="AU273" s="8">
        <f t="shared" si="24"/>
        <v>4</v>
      </c>
      <c r="AV273" s="8">
        <f t="shared" si="25"/>
        <v>512</v>
      </c>
      <c r="AW273" s="8">
        <f t="shared" si="26"/>
        <v>2</v>
      </c>
      <c r="AX273" s="8">
        <f t="shared" si="27"/>
        <v>8</v>
      </c>
      <c r="AY273" s="8">
        <f t="shared" si="28"/>
        <v>16</v>
      </c>
      <c r="AZ273" s="8">
        <f t="shared" si="29"/>
        <v>32</v>
      </c>
      <c r="BA273" s="8">
        <f t="shared" si="30"/>
        <v>256</v>
      </c>
      <c r="BB273" s="8">
        <f t="shared" si="31"/>
        <v>1024</v>
      </c>
      <c r="BC273" s="8">
        <f t="shared" si="32"/>
        <v>1854</v>
      </c>
      <c r="BD273" s="8"/>
      <c r="BE273" s="8"/>
      <c r="BF273" s="8"/>
      <c r="BG273" s="8"/>
      <c r="BH273" s="8"/>
    </row>
    <row r="274" spans="2:60">
      <c r="B274" s="11"/>
      <c r="C274" s="12"/>
      <c r="D274" s="8"/>
      <c r="E274" s="13"/>
      <c r="F274" s="14"/>
      <c r="G274" s="13"/>
      <c r="H274" s="1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2">
        <v>3262</v>
      </c>
      <c r="AK274" s="118">
        <v>150</v>
      </c>
      <c r="AL274" s="119" t="s">
        <v>115</v>
      </c>
      <c r="AM274" s="119" t="s">
        <v>117</v>
      </c>
      <c r="AN274" s="119" t="s">
        <v>114</v>
      </c>
      <c r="AO274" s="119" t="s">
        <v>116</v>
      </c>
      <c r="AP274" s="119" t="s">
        <v>120</v>
      </c>
      <c r="AQ274" s="119" t="s">
        <v>118</v>
      </c>
      <c r="AR274" s="119" t="s">
        <v>124</v>
      </c>
      <c r="AS274" s="119" t="s">
        <v>123</v>
      </c>
      <c r="AT274" s="8"/>
      <c r="AU274" s="8">
        <f t="shared" si="24"/>
        <v>4</v>
      </c>
      <c r="AV274" s="8">
        <f t="shared" si="25"/>
        <v>16</v>
      </c>
      <c r="AW274" s="8">
        <f t="shared" si="26"/>
        <v>2</v>
      </c>
      <c r="AX274" s="8">
        <f t="shared" si="27"/>
        <v>8</v>
      </c>
      <c r="AY274" s="8">
        <f t="shared" si="28"/>
        <v>128</v>
      </c>
      <c r="AZ274" s="8">
        <f t="shared" si="29"/>
        <v>32</v>
      </c>
      <c r="BA274" s="8">
        <f t="shared" si="30"/>
        <v>2048</v>
      </c>
      <c r="BB274" s="8">
        <f t="shared" si="31"/>
        <v>1024</v>
      </c>
      <c r="BC274" s="8">
        <f t="shared" si="32"/>
        <v>3262</v>
      </c>
      <c r="BD274" s="8"/>
      <c r="BE274" s="8"/>
      <c r="BF274" s="8"/>
      <c r="BG274" s="8"/>
      <c r="BH274" s="8"/>
    </row>
    <row r="275" spans="2:60">
      <c r="B275" s="11"/>
      <c r="C275" s="12"/>
      <c r="D275" s="8"/>
      <c r="E275" s="13"/>
      <c r="F275" s="14"/>
      <c r="G275" s="13"/>
      <c r="H275" s="15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2">
        <v>2750</v>
      </c>
      <c r="AK275" s="118">
        <v>151</v>
      </c>
      <c r="AL275" s="119" t="s">
        <v>115</v>
      </c>
      <c r="AM275" s="119" t="s">
        <v>122</v>
      </c>
      <c r="AN275" s="119" t="s">
        <v>114</v>
      </c>
      <c r="AO275" s="119" t="s">
        <v>116</v>
      </c>
      <c r="AP275" s="119" t="s">
        <v>120</v>
      </c>
      <c r="AQ275" s="119" t="s">
        <v>118</v>
      </c>
      <c r="AR275" s="119" t="s">
        <v>124</v>
      </c>
      <c r="AS275" s="119" t="s">
        <v>117</v>
      </c>
      <c r="AT275" s="8"/>
      <c r="AU275" s="8">
        <f t="shared" si="24"/>
        <v>4</v>
      </c>
      <c r="AV275" s="8">
        <f t="shared" si="25"/>
        <v>512</v>
      </c>
      <c r="AW275" s="8">
        <f t="shared" si="26"/>
        <v>2</v>
      </c>
      <c r="AX275" s="8">
        <f t="shared" si="27"/>
        <v>8</v>
      </c>
      <c r="AY275" s="8">
        <f t="shared" si="28"/>
        <v>128</v>
      </c>
      <c r="AZ275" s="8">
        <f t="shared" si="29"/>
        <v>32</v>
      </c>
      <c r="BA275" s="8">
        <f t="shared" si="30"/>
        <v>2048</v>
      </c>
      <c r="BB275" s="8">
        <f t="shared" si="31"/>
        <v>16</v>
      </c>
      <c r="BC275" s="8">
        <f t="shared" si="32"/>
        <v>2750</v>
      </c>
      <c r="BD275" s="8"/>
      <c r="BE275" s="8"/>
      <c r="BF275" s="8"/>
      <c r="BG275" s="8"/>
      <c r="BH275" s="8"/>
    </row>
    <row r="276" spans="2:60">
      <c r="B276" s="11"/>
      <c r="C276" s="12"/>
      <c r="D276" s="8"/>
      <c r="E276" s="13"/>
      <c r="F276" s="14"/>
      <c r="G276" s="13"/>
      <c r="H276" s="1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2">
        <v>1726</v>
      </c>
      <c r="AK276" s="118">
        <v>152</v>
      </c>
      <c r="AL276" s="119" t="s">
        <v>115</v>
      </c>
      <c r="AM276" s="119" t="s">
        <v>122</v>
      </c>
      <c r="AN276" s="119" t="s">
        <v>114</v>
      </c>
      <c r="AO276" s="119" t="s">
        <v>116</v>
      </c>
      <c r="AP276" s="119" t="s">
        <v>120</v>
      </c>
      <c r="AQ276" s="119" t="s">
        <v>118</v>
      </c>
      <c r="AR276" s="119" t="s">
        <v>117</v>
      </c>
      <c r="AS276" s="119" t="s">
        <v>123</v>
      </c>
      <c r="AT276" s="8"/>
      <c r="AU276" s="8">
        <f t="shared" si="24"/>
        <v>4</v>
      </c>
      <c r="AV276" s="8">
        <f t="shared" si="25"/>
        <v>512</v>
      </c>
      <c r="AW276" s="8">
        <f t="shared" si="26"/>
        <v>2</v>
      </c>
      <c r="AX276" s="8">
        <f t="shared" si="27"/>
        <v>8</v>
      </c>
      <c r="AY276" s="8">
        <f t="shared" si="28"/>
        <v>128</v>
      </c>
      <c r="AZ276" s="8">
        <f t="shared" si="29"/>
        <v>32</v>
      </c>
      <c r="BA276" s="8">
        <f t="shared" si="30"/>
        <v>16</v>
      </c>
      <c r="BB276" s="8">
        <f t="shared" si="31"/>
        <v>1024</v>
      </c>
      <c r="BC276" s="8">
        <f t="shared" si="32"/>
        <v>1726</v>
      </c>
      <c r="BD276" s="8"/>
      <c r="BE276" s="8"/>
      <c r="BF276" s="8"/>
      <c r="BG276" s="8"/>
      <c r="BH276" s="8"/>
    </row>
    <row r="277" spans="2:60">
      <c r="B277" s="11"/>
      <c r="C277" s="12"/>
      <c r="D277" s="8"/>
      <c r="E277" s="13"/>
      <c r="F277" s="14"/>
      <c r="G277" s="13"/>
      <c r="H277" s="1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2">
        <v>2494</v>
      </c>
      <c r="AK277" s="118">
        <v>153</v>
      </c>
      <c r="AL277" s="119" t="s">
        <v>115</v>
      </c>
      <c r="AM277" s="119" t="s">
        <v>117</v>
      </c>
      <c r="AN277" s="119" t="s">
        <v>114</v>
      </c>
      <c r="AO277" s="119" t="s">
        <v>116</v>
      </c>
      <c r="AP277" s="119" t="s">
        <v>120</v>
      </c>
      <c r="AQ277" s="119" t="s">
        <v>118</v>
      </c>
      <c r="AR277" s="119" t="s">
        <v>124</v>
      </c>
      <c r="AS277" s="119" t="s">
        <v>121</v>
      </c>
      <c r="AT277" s="8"/>
      <c r="AU277" s="8">
        <f t="shared" si="24"/>
        <v>4</v>
      </c>
      <c r="AV277" s="8">
        <f t="shared" si="25"/>
        <v>16</v>
      </c>
      <c r="AW277" s="8">
        <f t="shared" si="26"/>
        <v>2</v>
      </c>
      <c r="AX277" s="8">
        <f t="shared" si="27"/>
        <v>8</v>
      </c>
      <c r="AY277" s="8">
        <f t="shared" si="28"/>
        <v>128</v>
      </c>
      <c r="AZ277" s="8">
        <f t="shared" si="29"/>
        <v>32</v>
      </c>
      <c r="BA277" s="8">
        <f t="shared" si="30"/>
        <v>2048</v>
      </c>
      <c r="BB277" s="8">
        <f t="shared" si="31"/>
        <v>256</v>
      </c>
      <c r="BC277" s="8">
        <f t="shared" si="32"/>
        <v>2494</v>
      </c>
      <c r="BD277" s="8"/>
      <c r="BE277" s="8"/>
      <c r="BF277" s="8"/>
      <c r="BG277" s="8"/>
      <c r="BH277" s="8"/>
    </row>
    <row r="278" spans="2:60">
      <c r="B278" s="11"/>
      <c r="C278" s="12"/>
      <c r="D278" s="8"/>
      <c r="E278" s="13"/>
      <c r="F278" s="14"/>
      <c r="G278" s="13"/>
      <c r="H278" s="1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2">
        <v>1470</v>
      </c>
      <c r="AK278" s="118">
        <v>154</v>
      </c>
      <c r="AL278" s="119" t="s">
        <v>115</v>
      </c>
      <c r="AM278" s="119" t="s">
        <v>117</v>
      </c>
      <c r="AN278" s="119" t="s">
        <v>114</v>
      </c>
      <c r="AO278" s="119" t="s">
        <v>116</v>
      </c>
      <c r="AP278" s="119" t="s">
        <v>120</v>
      </c>
      <c r="AQ278" s="119" t="s">
        <v>118</v>
      </c>
      <c r="AR278" s="119" t="s">
        <v>121</v>
      </c>
      <c r="AS278" s="119" t="s">
        <v>123</v>
      </c>
      <c r="AT278" s="8"/>
      <c r="AU278" s="8">
        <f t="shared" si="24"/>
        <v>4</v>
      </c>
      <c r="AV278" s="8">
        <f t="shared" si="25"/>
        <v>16</v>
      </c>
      <c r="AW278" s="8">
        <f t="shared" si="26"/>
        <v>2</v>
      </c>
      <c r="AX278" s="8">
        <f t="shared" si="27"/>
        <v>8</v>
      </c>
      <c r="AY278" s="8">
        <f t="shared" si="28"/>
        <v>128</v>
      </c>
      <c r="AZ278" s="8">
        <f t="shared" si="29"/>
        <v>32</v>
      </c>
      <c r="BA278" s="8">
        <f t="shared" si="30"/>
        <v>256</v>
      </c>
      <c r="BB278" s="8">
        <f t="shared" si="31"/>
        <v>1024</v>
      </c>
      <c r="BC278" s="8">
        <f t="shared" si="32"/>
        <v>1470</v>
      </c>
      <c r="BD278" s="8"/>
      <c r="BE278" s="8"/>
      <c r="BF278" s="8"/>
      <c r="BG278" s="8"/>
      <c r="BH278" s="8"/>
    </row>
    <row r="279" spans="2:60">
      <c r="B279" s="11"/>
      <c r="C279" s="12"/>
      <c r="D279" s="8"/>
      <c r="E279" s="13"/>
      <c r="F279" s="14"/>
      <c r="G279" s="13"/>
      <c r="H279" s="15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2">
        <v>958</v>
      </c>
      <c r="AK279" s="118">
        <v>155</v>
      </c>
      <c r="AL279" s="119" t="s">
        <v>115</v>
      </c>
      <c r="AM279" s="119" t="s">
        <v>122</v>
      </c>
      <c r="AN279" s="119" t="s">
        <v>114</v>
      </c>
      <c r="AO279" s="119" t="s">
        <v>116</v>
      </c>
      <c r="AP279" s="119" t="s">
        <v>120</v>
      </c>
      <c r="AQ279" s="119" t="s">
        <v>118</v>
      </c>
      <c r="AR279" s="119" t="s">
        <v>117</v>
      </c>
      <c r="AS279" s="119" t="s">
        <v>121</v>
      </c>
      <c r="AT279" s="8"/>
      <c r="AU279" s="8">
        <f t="shared" si="24"/>
        <v>4</v>
      </c>
      <c r="AV279" s="8">
        <f t="shared" si="25"/>
        <v>512</v>
      </c>
      <c r="AW279" s="8">
        <f t="shared" si="26"/>
        <v>2</v>
      </c>
      <c r="AX279" s="8">
        <f t="shared" si="27"/>
        <v>8</v>
      </c>
      <c r="AY279" s="8">
        <f t="shared" si="28"/>
        <v>128</v>
      </c>
      <c r="AZ279" s="8">
        <f t="shared" si="29"/>
        <v>32</v>
      </c>
      <c r="BA279" s="8">
        <f t="shared" si="30"/>
        <v>16</v>
      </c>
      <c r="BB279" s="8">
        <f t="shared" si="31"/>
        <v>256</v>
      </c>
      <c r="BC279" s="8">
        <f t="shared" si="32"/>
        <v>958</v>
      </c>
      <c r="BD279" s="8"/>
      <c r="BE279" s="8"/>
      <c r="BF279" s="8"/>
      <c r="BG279" s="8"/>
      <c r="BH279" s="8"/>
    </row>
    <row r="280" spans="2:60">
      <c r="B280" s="11"/>
      <c r="C280" s="12"/>
      <c r="D280" s="8"/>
      <c r="E280" s="13"/>
      <c r="F280" s="14"/>
      <c r="G280" s="13"/>
      <c r="H280" s="1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2">
        <v>3198</v>
      </c>
      <c r="AK280" s="118">
        <v>156</v>
      </c>
      <c r="AL280" s="119" t="s">
        <v>115</v>
      </c>
      <c r="AM280" s="119" t="s">
        <v>119</v>
      </c>
      <c r="AN280" s="119" t="s">
        <v>114</v>
      </c>
      <c r="AO280" s="119" t="s">
        <v>116</v>
      </c>
      <c r="AP280" s="119" t="s">
        <v>117</v>
      </c>
      <c r="AQ280" s="119" t="s">
        <v>118</v>
      </c>
      <c r="AR280" s="119" t="s">
        <v>124</v>
      </c>
      <c r="AS280" s="119" t="s">
        <v>123</v>
      </c>
      <c r="AT280" s="8"/>
      <c r="AU280" s="8">
        <f t="shared" si="24"/>
        <v>4</v>
      </c>
      <c r="AV280" s="8">
        <f t="shared" si="25"/>
        <v>64</v>
      </c>
      <c r="AW280" s="8">
        <f t="shared" si="26"/>
        <v>2</v>
      </c>
      <c r="AX280" s="8">
        <f t="shared" si="27"/>
        <v>8</v>
      </c>
      <c r="AY280" s="8">
        <f t="shared" si="28"/>
        <v>16</v>
      </c>
      <c r="AZ280" s="8">
        <f t="shared" si="29"/>
        <v>32</v>
      </c>
      <c r="BA280" s="8">
        <f t="shared" si="30"/>
        <v>2048</v>
      </c>
      <c r="BB280" s="8">
        <f t="shared" si="31"/>
        <v>1024</v>
      </c>
      <c r="BC280" s="8">
        <f t="shared" si="32"/>
        <v>3198</v>
      </c>
      <c r="BD280" s="8"/>
      <c r="BE280" s="8"/>
      <c r="BF280" s="8"/>
      <c r="BG280" s="8"/>
      <c r="BH280" s="8"/>
    </row>
    <row r="281" spans="2:60">
      <c r="B281" s="11"/>
      <c r="C281" s="12"/>
      <c r="D281" s="8"/>
      <c r="E281" s="13"/>
      <c r="F281" s="14"/>
      <c r="G281" s="13"/>
      <c r="H281" s="1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2">
        <v>2686</v>
      </c>
      <c r="AK281" s="118">
        <v>157</v>
      </c>
      <c r="AL281" s="119" t="s">
        <v>115</v>
      </c>
      <c r="AM281" s="119" t="s">
        <v>119</v>
      </c>
      <c r="AN281" s="119" t="s">
        <v>114</v>
      </c>
      <c r="AO281" s="119" t="s">
        <v>116</v>
      </c>
      <c r="AP281" s="119" t="s">
        <v>122</v>
      </c>
      <c r="AQ281" s="119" t="s">
        <v>118</v>
      </c>
      <c r="AR281" s="119" t="s">
        <v>124</v>
      </c>
      <c r="AS281" s="119" t="s">
        <v>117</v>
      </c>
      <c r="AT281" s="8"/>
      <c r="AU281" s="8">
        <f t="shared" si="24"/>
        <v>4</v>
      </c>
      <c r="AV281" s="8">
        <f t="shared" si="25"/>
        <v>64</v>
      </c>
      <c r="AW281" s="8">
        <f t="shared" si="26"/>
        <v>2</v>
      </c>
      <c r="AX281" s="8">
        <f t="shared" si="27"/>
        <v>8</v>
      </c>
      <c r="AY281" s="8">
        <f t="shared" si="28"/>
        <v>512</v>
      </c>
      <c r="AZ281" s="8">
        <f t="shared" si="29"/>
        <v>32</v>
      </c>
      <c r="BA281" s="8">
        <f t="shared" si="30"/>
        <v>2048</v>
      </c>
      <c r="BB281" s="8">
        <f t="shared" si="31"/>
        <v>16</v>
      </c>
      <c r="BC281" s="8">
        <f t="shared" si="32"/>
        <v>2686</v>
      </c>
      <c r="BD281" s="8"/>
      <c r="BE281" s="8"/>
      <c r="BF281" s="8"/>
      <c r="BG281" s="8"/>
      <c r="BH281" s="8"/>
    </row>
    <row r="282" spans="2:60">
      <c r="B282" s="11"/>
      <c r="C282" s="12"/>
      <c r="D282" s="8"/>
      <c r="E282" s="13"/>
      <c r="F282" s="14"/>
      <c r="G282" s="13"/>
      <c r="H282" s="15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2">
        <v>1662</v>
      </c>
      <c r="AK282" s="118">
        <v>158</v>
      </c>
      <c r="AL282" s="119" t="s">
        <v>115</v>
      </c>
      <c r="AM282" s="119" t="s">
        <v>119</v>
      </c>
      <c r="AN282" s="119" t="s">
        <v>114</v>
      </c>
      <c r="AO282" s="119" t="s">
        <v>116</v>
      </c>
      <c r="AP282" s="119" t="s">
        <v>122</v>
      </c>
      <c r="AQ282" s="119" t="s">
        <v>118</v>
      </c>
      <c r="AR282" s="119" t="s">
        <v>117</v>
      </c>
      <c r="AS282" s="119" t="s">
        <v>123</v>
      </c>
      <c r="AT282" s="8"/>
      <c r="AU282" s="8">
        <f t="shared" si="24"/>
        <v>4</v>
      </c>
      <c r="AV282" s="8">
        <f t="shared" si="25"/>
        <v>64</v>
      </c>
      <c r="AW282" s="8">
        <f t="shared" si="26"/>
        <v>2</v>
      </c>
      <c r="AX282" s="8">
        <f t="shared" si="27"/>
        <v>8</v>
      </c>
      <c r="AY282" s="8">
        <f t="shared" si="28"/>
        <v>512</v>
      </c>
      <c r="AZ282" s="8">
        <f t="shared" si="29"/>
        <v>32</v>
      </c>
      <c r="BA282" s="8">
        <f t="shared" si="30"/>
        <v>16</v>
      </c>
      <c r="BB282" s="8">
        <f t="shared" si="31"/>
        <v>1024</v>
      </c>
      <c r="BC282" s="8">
        <f t="shared" si="32"/>
        <v>1662</v>
      </c>
      <c r="BD282" s="8"/>
      <c r="BE282" s="8"/>
      <c r="BF282" s="8"/>
      <c r="BG282" s="8"/>
      <c r="BH282" s="8"/>
    </row>
    <row r="283" spans="2:60">
      <c r="B283" s="11"/>
      <c r="C283" s="12"/>
      <c r="D283" s="8"/>
      <c r="E283" s="13"/>
      <c r="F283" s="14"/>
      <c r="G283" s="13"/>
      <c r="H283" s="1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2">
        <v>2430</v>
      </c>
      <c r="AK283" s="118">
        <v>159</v>
      </c>
      <c r="AL283" s="119" t="s">
        <v>115</v>
      </c>
      <c r="AM283" s="119" t="s">
        <v>119</v>
      </c>
      <c r="AN283" s="119" t="s">
        <v>114</v>
      </c>
      <c r="AO283" s="119" t="s">
        <v>116</v>
      </c>
      <c r="AP283" s="119" t="s">
        <v>117</v>
      </c>
      <c r="AQ283" s="119" t="s">
        <v>118</v>
      </c>
      <c r="AR283" s="119" t="s">
        <v>124</v>
      </c>
      <c r="AS283" s="119" t="s">
        <v>121</v>
      </c>
      <c r="AT283" s="8"/>
      <c r="AU283" s="8">
        <f t="shared" si="24"/>
        <v>4</v>
      </c>
      <c r="AV283" s="8">
        <f t="shared" si="25"/>
        <v>64</v>
      </c>
      <c r="AW283" s="8">
        <f t="shared" si="26"/>
        <v>2</v>
      </c>
      <c r="AX283" s="8">
        <f t="shared" si="27"/>
        <v>8</v>
      </c>
      <c r="AY283" s="8">
        <f t="shared" si="28"/>
        <v>16</v>
      </c>
      <c r="AZ283" s="8">
        <f t="shared" si="29"/>
        <v>32</v>
      </c>
      <c r="BA283" s="8">
        <f t="shared" si="30"/>
        <v>2048</v>
      </c>
      <c r="BB283" s="8">
        <f t="shared" si="31"/>
        <v>256</v>
      </c>
      <c r="BC283" s="8">
        <f t="shared" si="32"/>
        <v>2430</v>
      </c>
      <c r="BD283" s="8"/>
      <c r="BE283" s="8"/>
      <c r="BF283" s="8"/>
      <c r="BG283" s="8"/>
      <c r="BH283" s="8"/>
    </row>
    <row r="284" spans="2:60">
      <c r="B284" s="11"/>
      <c r="C284" s="12"/>
      <c r="D284" s="8"/>
      <c r="E284" s="13"/>
      <c r="F284" s="14"/>
      <c r="G284" s="13"/>
      <c r="H284" s="1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2">
        <v>1406</v>
      </c>
      <c r="AK284" s="118">
        <v>160</v>
      </c>
      <c r="AL284" s="119" t="s">
        <v>115</v>
      </c>
      <c r="AM284" s="119" t="s">
        <v>119</v>
      </c>
      <c r="AN284" s="119" t="s">
        <v>114</v>
      </c>
      <c r="AO284" s="119" t="s">
        <v>116</v>
      </c>
      <c r="AP284" s="119" t="s">
        <v>117</v>
      </c>
      <c r="AQ284" s="119" t="s">
        <v>118</v>
      </c>
      <c r="AR284" s="119" t="s">
        <v>121</v>
      </c>
      <c r="AS284" s="119" t="s">
        <v>123</v>
      </c>
      <c r="AT284" s="8"/>
      <c r="AU284" s="8">
        <f t="shared" si="24"/>
        <v>4</v>
      </c>
      <c r="AV284" s="8">
        <f t="shared" si="25"/>
        <v>64</v>
      </c>
      <c r="AW284" s="8">
        <f t="shared" si="26"/>
        <v>2</v>
      </c>
      <c r="AX284" s="8">
        <f t="shared" si="27"/>
        <v>8</v>
      </c>
      <c r="AY284" s="8">
        <f t="shared" si="28"/>
        <v>16</v>
      </c>
      <c r="AZ284" s="8">
        <f t="shared" si="29"/>
        <v>32</v>
      </c>
      <c r="BA284" s="8">
        <f t="shared" si="30"/>
        <v>256</v>
      </c>
      <c r="BB284" s="8">
        <f t="shared" si="31"/>
        <v>1024</v>
      </c>
      <c r="BC284" s="8">
        <f t="shared" si="32"/>
        <v>1406</v>
      </c>
      <c r="BD284" s="8"/>
      <c r="BE284" s="8"/>
      <c r="BF284" s="8"/>
      <c r="BG284" s="8"/>
      <c r="BH284" s="8"/>
    </row>
    <row r="285" spans="2:60">
      <c r="B285" s="11"/>
      <c r="C285" s="12"/>
      <c r="D285" s="8"/>
      <c r="E285" s="13"/>
      <c r="F285" s="14"/>
      <c r="G285" s="13"/>
      <c r="H285" s="1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2">
        <v>894</v>
      </c>
      <c r="AK285" s="118">
        <v>161</v>
      </c>
      <c r="AL285" s="119" t="s">
        <v>115</v>
      </c>
      <c r="AM285" s="119" t="s">
        <v>119</v>
      </c>
      <c r="AN285" s="119" t="s">
        <v>114</v>
      </c>
      <c r="AO285" s="119" t="s">
        <v>116</v>
      </c>
      <c r="AP285" s="119" t="s">
        <v>122</v>
      </c>
      <c r="AQ285" s="119" t="s">
        <v>118</v>
      </c>
      <c r="AR285" s="119" t="s">
        <v>117</v>
      </c>
      <c r="AS285" s="119" t="s">
        <v>121</v>
      </c>
      <c r="AT285" s="8"/>
      <c r="AU285" s="8">
        <f t="shared" si="24"/>
        <v>4</v>
      </c>
      <c r="AV285" s="8">
        <f t="shared" si="25"/>
        <v>64</v>
      </c>
      <c r="AW285" s="8">
        <f t="shared" si="26"/>
        <v>2</v>
      </c>
      <c r="AX285" s="8">
        <f t="shared" si="27"/>
        <v>8</v>
      </c>
      <c r="AY285" s="8">
        <f t="shared" si="28"/>
        <v>512</v>
      </c>
      <c r="AZ285" s="8">
        <f t="shared" si="29"/>
        <v>32</v>
      </c>
      <c r="BA285" s="8">
        <f t="shared" si="30"/>
        <v>16</v>
      </c>
      <c r="BB285" s="8">
        <f t="shared" si="31"/>
        <v>256</v>
      </c>
      <c r="BC285" s="8">
        <f t="shared" si="32"/>
        <v>894</v>
      </c>
      <c r="BD285" s="8"/>
      <c r="BE285" s="8"/>
      <c r="BF285" s="8"/>
      <c r="BG285" s="8"/>
      <c r="BH285" s="8"/>
    </row>
    <row r="286" spans="2:60">
      <c r="B286" s="11"/>
      <c r="C286" s="12"/>
      <c r="D286" s="8"/>
      <c r="E286" s="13"/>
      <c r="F286" s="14"/>
      <c r="G286" s="13"/>
      <c r="H286" s="15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2">
        <v>2302</v>
      </c>
      <c r="AK286" s="118">
        <v>162</v>
      </c>
      <c r="AL286" s="119" t="s">
        <v>115</v>
      </c>
      <c r="AM286" s="119" t="s">
        <v>119</v>
      </c>
      <c r="AN286" s="119" t="s">
        <v>114</v>
      </c>
      <c r="AO286" s="119" t="s">
        <v>116</v>
      </c>
      <c r="AP286" s="119" t="s">
        <v>120</v>
      </c>
      <c r="AQ286" s="119" t="s">
        <v>118</v>
      </c>
      <c r="AR286" s="119" t="s">
        <v>124</v>
      </c>
      <c r="AS286" s="119" t="s">
        <v>117</v>
      </c>
      <c r="AT286" s="8"/>
      <c r="AU286" s="8">
        <f t="shared" si="24"/>
        <v>4</v>
      </c>
      <c r="AV286" s="8">
        <f t="shared" si="25"/>
        <v>64</v>
      </c>
      <c r="AW286" s="8">
        <f t="shared" si="26"/>
        <v>2</v>
      </c>
      <c r="AX286" s="8">
        <f t="shared" si="27"/>
        <v>8</v>
      </c>
      <c r="AY286" s="8">
        <f t="shared" si="28"/>
        <v>128</v>
      </c>
      <c r="AZ286" s="8">
        <f t="shared" si="29"/>
        <v>32</v>
      </c>
      <c r="BA286" s="8">
        <f t="shared" si="30"/>
        <v>2048</v>
      </c>
      <c r="BB286" s="8">
        <f t="shared" si="31"/>
        <v>16</v>
      </c>
      <c r="BC286" s="8">
        <f t="shared" si="32"/>
        <v>2302</v>
      </c>
      <c r="BD286" s="8"/>
      <c r="BE286" s="8"/>
      <c r="BF286" s="8"/>
      <c r="BG286" s="8"/>
      <c r="BH286" s="8"/>
    </row>
    <row r="287" spans="2:60">
      <c r="B287" s="11"/>
      <c r="C287" s="12"/>
      <c r="D287" s="8"/>
      <c r="E287" s="13"/>
      <c r="F287" s="14"/>
      <c r="G287" s="13"/>
      <c r="H287" s="1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2">
        <v>1278</v>
      </c>
      <c r="AK287" s="118">
        <v>163</v>
      </c>
      <c r="AL287" s="119" t="s">
        <v>115</v>
      </c>
      <c r="AM287" s="119" t="s">
        <v>119</v>
      </c>
      <c r="AN287" s="119" t="s">
        <v>114</v>
      </c>
      <c r="AO287" s="119" t="s">
        <v>116</v>
      </c>
      <c r="AP287" s="119" t="s">
        <v>120</v>
      </c>
      <c r="AQ287" s="119" t="s">
        <v>118</v>
      </c>
      <c r="AR287" s="119" t="s">
        <v>117</v>
      </c>
      <c r="AS287" s="119" t="s">
        <v>123</v>
      </c>
      <c r="AT287" s="8"/>
      <c r="AU287" s="8">
        <f t="shared" si="24"/>
        <v>4</v>
      </c>
      <c r="AV287" s="8">
        <f t="shared" si="25"/>
        <v>64</v>
      </c>
      <c r="AW287" s="8">
        <f t="shared" si="26"/>
        <v>2</v>
      </c>
      <c r="AX287" s="8">
        <f t="shared" si="27"/>
        <v>8</v>
      </c>
      <c r="AY287" s="8">
        <f t="shared" si="28"/>
        <v>128</v>
      </c>
      <c r="AZ287" s="8">
        <f t="shared" si="29"/>
        <v>32</v>
      </c>
      <c r="BA287" s="8">
        <f t="shared" si="30"/>
        <v>16</v>
      </c>
      <c r="BB287" s="8">
        <f t="shared" si="31"/>
        <v>1024</v>
      </c>
      <c r="BC287" s="8">
        <f t="shared" si="32"/>
        <v>1278</v>
      </c>
      <c r="BD287" s="8"/>
      <c r="BE287" s="8"/>
      <c r="BF287" s="8"/>
      <c r="BG287" s="8"/>
      <c r="BH287" s="8"/>
    </row>
    <row r="288" spans="2:60">
      <c r="B288" s="11"/>
      <c r="C288" s="12"/>
      <c r="D288" s="8"/>
      <c r="E288" s="13"/>
      <c r="F288" s="14"/>
      <c r="G288" s="13"/>
      <c r="H288" s="1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2">
        <v>766</v>
      </c>
      <c r="AK288" s="118">
        <v>164</v>
      </c>
      <c r="AL288" s="119" t="s">
        <v>120</v>
      </c>
      <c r="AM288" s="119" t="s">
        <v>119</v>
      </c>
      <c r="AN288" s="119" t="s">
        <v>114</v>
      </c>
      <c r="AO288" s="119" t="s">
        <v>115</v>
      </c>
      <c r="AP288" s="119" t="s">
        <v>122</v>
      </c>
      <c r="AQ288" s="119" t="s">
        <v>118</v>
      </c>
      <c r="AR288" s="119" t="s">
        <v>116</v>
      </c>
      <c r="AS288" s="119" t="s">
        <v>117</v>
      </c>
      <c r="AT288" s="8"/>
      <c r="AU288" s="8">
        <f t="shared" si="24"/>
        <v>128</v>
      </c>
      <c r="AV288" s="8">
        <f t="shared" si="25"/>
        <v>64</v>
      </c>
      <c r="AW288" s="8">
        <f t="shared" si="26"/>
        <v>2</v>
      </c>
      <c r="AX288" s="8">
        <f t="shared" si="27"/>
        <v>4</v>
      </c>
      <c r="AY288" s="8">
        <f t="shared" si="28"/>
        <v>512</v>
      </c>
      <c r="AZ288" s="8">
        <f t="shared" si="29"/>
        <v>32</v>
      </c>
      <c r="BA288" s="8">
        <f t="shared" si="30"/>
        <v>8</v>
      </c>
      <c r="BB288" s="8">
        <f t="shared" si="31"/>
        <v>16</v>
      </c>
      <c r="BC288" s="8">
        <f t="shared" si="32"/>
        <v>766</v>
      </c>
      <c r="BD288" s="8"/>
      <c r="BE288" s="8"/>
      <c r="BF288" s="8"/>
      <c r="BG288" s="8"/>
      <c r="BH288" s="8"/>
    </row>
    <row r="289" spans="2:60">
      <c r="B289" s="11"/>
      <c r="C289" s="12"/>
      <c r="D289" s="8"/>
      <c r="E289" s="13"/>
      <c r="F289" s="14"/>
      <c r="G289" s="13"/>
      <c r="H289" s="1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2">
        <v>510</v>
      </c>
      <c r="AK289" s="118">
        <v>165</v>
      </c>
      <c r="AL289" s="119" t="s">
        <v>115</v>
      </c>
      <c r="AM289" s="119" t="s">
        <v>119</v>
      </c>
      <c r="AN289" s="119" t="s">
        <v>114</v>
      </c>
      <c r="AO289" s="119" t="s">
        <v>116</v>
      </c>
      <c r="AP289" s="119" t="s">
        <v>120</v>
      </c>
      <c r="AQ289" s="119" t="s">
        <v>118</v>
      </c>
      <c r="AR289" s="119" t="s">
        <v>117</v>
      </c>
      <c r="AS289" s="119" t="s">
        <v>121</v>
      </c>
      <c r="AT289" s="8"/>
      <c r="AU289" s="8">
        <f t="shared" si="24"/>
        <v>4</v>
      </c>
      <c r="AV289" s="8">
        <f t="shared" si="25"/>
        <v>64</v>
      </c>
      <c r="AW289" s="8">
        <f t="shared" si="26"/>
        <v>2</v>
      </c>
      <c r="AX289" s="8">
        <f t="shared" si="27"/>
        <v>8</v>
      </c>
      <c r="AY289" s="8">
        <f t="shared" si="28"/>
        <v>128</v>
      </c>
      <c r="AZ289" s="8">
        <f t="shared" si="29"/>
        <v>32</v>
      </c>
      <c r="BA289" s="8">
        <f t="shared" si="30"/>
        <v>16</v>
      </c>
      <c r="BB289" s="8">
        <f t="shared" si="31"/>
        <v>256</v>
      </c>
      <c r="BC289" s="8">
        <f t="shared" si="32"/>
        <v>510</v>
      </c>
      <c r="BD289" s="8"/>
      <c r="BE289" s="8"/>
      <c r="BF289" s="8"/>
      <c r="BG289" s="8"/>
      <c r="BH289" s="8"/>
    </row>
    <row r="290" spans="2:60">
      <c r="B290" s="11"/>
      <c r="C290" s="12"/>
      <c r="D290" s="8"/>
      <c r="E290" s="13"/>
      <c r="F290" s="14"/>
      <c r="G290" s="13"/>
      <c r="H290" s="15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2">
        <v>4065</v>
      </c>
      <c r="AK290" s="118">
        <v>166</v>
      </c>
      <c r="AL290" s="119" t="s">
        <v>120</v>
      </c>
      <c r="AM290" s="119" t="s">
        <v>122</v>
      </c>
      <c r="AN290" s="119" t="s">
        <v>121</v>
      </c>
      <c r="AO290" s="119" t="s">
        <v>118</v>
      </c>
      <c r="AP290" s="119" t="s">
        <v>113</v>
      </c>
      <c r="AQ290" s="119" t="s">
        <v>119</v>
      </c>
      <c r="AR290" s="119" t="s">
        <v>124</v>
      </c>
      <c r="AS290" s="119" t="s">
        <v>123</v>
      </c>
      <c r="AT290" s="8"/>
      <c r="AU290" s="8">
        <f t="shared" si="24"/>
        <v>128</v>
      </c>
      <c r="AV290" s="8">
        <f t="shared" si="25"/>
        <v>512</v>
      </c>
      <c r="AW290" s="8">
        <f t="shared" si="26"/>
        <v>256</v>
      </c>
      <c r="AX290" s="8">
        <f t="shared" si="27"/>
        <v>32</v>
      </c>
      <c r="AY290" s="8">
        <f t="shared" si="28"/>
        <v>1</v>
      </c>
      <c r="AZ290" s="8">
        <f t="shared" si="29"/>
        <v>64</v>
      </c>
      <c r="BA290" s="8">
        <f t="shared" si="30"/>
        <v>2048</v>
      </c>
      <c r="BB290" s="8">
        <f t="shared" si="31"/>
        <v>1024</v>
      </c>
      <c r="BC290" s="8">
        <f t="shared" si="32"/>
        <v>4065</v>
      </c>
      <c r="BD290" s="8"/>
      <c r="BE290" s="8"/>
      <c r="BF290" s="8"/>
      <c r="BG290" s="8"/>
      <c r="BH290" s="8"/>
    </row>
    <row r="291" spans="2:60">
      <c r="B291" s="11"/>
      <c r="C291" s="12"/>
      <c r="D291" s="8"/>
      <c r="E291" s="13"/>
      <c r="F291" s="14"/>
      <c r="G291" s="13"/>
      <c r="H291" s="1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2">
        <v>4049</v>
      </c>
      <c r="AK291" s="118">
        <v>167</v>
      </c>
      <c r="AL291" s="119" t="s">
        <v>117</v>
      </c>
      <c r="AM291" s="119" t="s">
        <v>122</v>
      </c>
      <c r="AN291" s="119" t="s">
        <v>121</v>
      </c>
      <c r="AO291" s="119" t="s">
        <v>113</v>
      </c>
      <c r="AP291" s="119" t="s">
        <v>120</v>
      </c>
      <c r="AQ291" s="119" t="s">
        <v>119</v>
      </c>
      <c r="AR291" s="119" t="s">
        <v>124</v>
      </c>
      <c r="AS291" s="119" t="s">
        <v>123</v>
      </c>
      <c r="AT291" s="8"/>
      <c r="AU291" s="8">
        <f t="shared" si="24"/>
        <v>16</v>
      </c>
      <c r="AV291" s="8">
        <f t="shared" si="25"/>
        <v>512</v>
      </c>
      <c r="AW291" s="8">
        <f t="shared" si="26"/>
        <v>256</v>
      </c>
      <c r="AX291" s="8">
        <f t="shared" si="27"/>
        <v>1</v>
      </c>
      <c r="AY291" s="8">
        <f t="shared" si="28"/>
        <v>128</v>
      </c>
      <c r="AZ291" s="8">
        <f t="shared" si="29"/>
        <v>64</v>
      </c>
      <c r="BA291" s="8">
        <f t="shared" si="30"/>
        <v>2048</v>
      </c>
      <c r="BB291" s="8">
        <f t="shared" si="31"/>
        <v>1024</v>
      </c>
      <c r="BC291" s="8">
        <f t="shared" si="32"/>
        <v>4049</v>
      </c>
      <c r="BD291" s="8"/>
      <c r="BE291" s="8"/>
      <c r="BF291" s="8"/>
      <c r="BG291" s="8"/>
      <c r="BH291" s="8"/>
    </row>
    <row r="292" spans="2:60">
      <c r="B292" s="11"/>
      <c r="C292" s="12"/>
      <c r="D292" s="8"/>
      <c r="E292" s="13"/>
      <c r="F292" s="14"/>
      <c r="G292" s="13"/>
      <c r="H292" s="1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2">
        <v>4017</v>
      </c>
      <c r="AK292" s="118">
        <v>168</v>
      </c>
      <c r="AL292" s="119" t="s">
        <v>117</v>
      </c>
      <c r="AM292" s="119" t="s">
        <v>122</v>
      </c>
      <c r="AN292" s="119" t="s">
        <v>121</v>
      </c>
      <c r="AO292" s="119" t="s">
        <v>118</v>
      </c>
      <c r="AP292" s="119" t="s">
        <v>113</v>
      </c>
      <c r="AQ292" s="119" t="s">
        <v>120</v>
      </c>
      <c r="AR292" s="119" t="s">
        <v>124</v>
      </c>
      <c r="AS292" s="119" t="s">
        <v>123</v>
      </c>
      <c r="AT292" s="8"/>
      <c r="AU292" s="8">
        <f t="shared" si="24"/>
        <v>16</v>
      </c>
      <c r="AV292" s="8">
        <f t="shared" si="25"/>
        <v>512</v>
      </c>
      <c r="AW292" s="8">
        <f t="shared" si="26"/>
        <v>256</v>
      </c>
      <c r="AX292" s="8">
        <f t="shared" si="27"/>
        <v>32</v>
      </c>
      <c r="AY292" s="8">
        <f t="shared" si="28"/>
        <v>1</v>
      </c>
      <c r="AZ292" s="8">
        <f t="shared" si="29"/>
        <v>128</v>
      </c>
      <c r="BA292" s="8">
        <f t="shared" si="30"/>
        <v>2048</v>
      </c>
      <c r="BB292" s="8">
        <f t="shared" si="31"/>
        <v>1024</v>
      </c>
      <c r="BC292" s="8">
        <f t="shared" si="32"/>
        <v>4017</v>
      </c>
      <c r="BD292" s="8"/>
      <c r="BE292" s="8"/>
      <c r="BF292" s="8"/>
      <c r="BG292" s="8"/>
      <c r="BH292" s="8"/>
    </row>
    <row r="293" spans="2:60">
      <c r="B293" s="11"/>
      <c r="C293" s="12"/>
      <c r="D293" s="8"/>
      <c r="E293" s="13"/>
      <c r="F293" s="14"/>
      <c r="G293" s="13"/>
      <c r="H293" s="1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2">
        <v>3953</v>
      </c>
      <c r="AK293" s="118">
        <v>169</v>
      </c>
      <c r="AL293" s="119" t="s">
        <v>117</v>
      </c>
      <c r="AM293" s="119" t="s">
        <v>122</v>
      </c>
      <c r="AN293" s="119" t="s">
        <v>121</v>
      </c>
      <c r="AO293" s="119" t="s">
        <v>118</v>
      </c>
      <c r="AP293" s="119" t="s">
        <v>113</v>
      </c>
      <c r="AQ293" s="119" t="s">
        <v>119</v>
      </c>
      <c r="AR293" s="119" t="s">
        <v>124</v>
      </c>
      <c r="AS293" s="119" t="s">
        <v>123</v>
      </c>
      <c r="AT293" s="8"/>
      <c r="AU293" s="8">
        <f t="shared" si="24"/>
        <v>16</v>
      </c>
      <c r="AV293" s="8">
        <f t="shared" si="25"/>
        <v>512</v>
      </c>
      <c r="AW293" s="8">
        <f t="shared" si="26"/>
        <v>256</v>
      </c>
      <c r="AX293" s="8">
        <f t="shared" si="27"/>
        <v>32</v>
      </c>
      <c r="AY293" s="8">
        <f t="shared" si="28"/>
        <v>1</v>
      </c>
      <c r="AZ293" s="8">
        <f t="shared" si="29"/>
        <v>64</v>
      </c>
      <c r="BA293" s="8">
        <f t="shared" si="30"/>
        <v>2048</v>
      </c>
      <c r="BB293" s="8">
        <f t="shared" si="31"/>
        <v>1024</v>
      </c>
      <c r="BC293" s="8">
        <f t="shared" si="32"/>
        <v>3953</v>
      </c>
      <c r="BD293" s="8"/>
      <c r="BE293" s="8"/>
      <c r="BF293" s="8"/>
      <c r="BG293" s="8"/>
      <c r="BH293" s="8"/>
    </row>
    <row r="294" spans="2:60">
      <c r="B294" s="11"/>
      <c r="C294" s="12"/>
      <c r="D294" s="8"/>
      <c r="E294" s="13"/>
      <c r="F294" s="14"/>
      <c r="G294" s="13"/>
      <c r="H294" s="15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2">
        <v>3825</v>
      </c>
      <c r="AK294" s="118">
        <v>170</v>
      </c>
      <c r="AL294" s="119" t="s">
        <v>117</v>
      </c>
      <c r="AM294" s="119" t="s">
        <v>119</v>
      </c>
      <c r="AN294" s="119" t="s">
        <v>122</v>
      </c>
      <c r="AO294" s="119" t="s">
        <v>118</v>
      </c>
      <c r="AP294" s="119" t="s">
        <v>113</v>
      </c>
      <c r="AQ294" s="119" t="s">
        <v>120</v>
      </c>
      <c r="AR294" s="119" t="s">
        <v>124</v>
      </c>
      <c r="AS294" s="119" t="s">
        <v>123</v>
      </c>
      <c r="AT294" s="8"/>
      <c r="AU294" s="8">
        <f t="shared" si="24"/>
        <v>16</v>
      </c>
      <c r="AV294" s="8">
        <f t="shared" si="25"/>
        <v>64</v>
      </c>
      <c r="AW294" s="8">
        <f t="shared" si="26"/>
        <v>512</v>
      </c>
      <c r="AX294" s="8">
        <f t="shared" si="27"/>
        <v>32</v>
      </c>
      <c r="AY294" s="8">
        <f t="shared" si="28"/>
        <v>1</v>
      </c>
      <c r="AZ294" s="8">
        <f t="shared" si="29"/>
        <v>128</v>
      </c>
      <c r="BA294" s="8">
        <f t="shared" si="30"/>
        <v>2048</v>
      </c>
      <c r="BB294" s="8">
        <f t="shared" si="31"/>
        <v>1024</v>
      </c>
      <c r="BC294" s="8">
        <f t="shared" si="32"/>
        <v>3825</v>
      </c>
      <c r="BD294" s="8"/>
      <c r="BE294" s="8"/>
      <c r="BF294" s="8"/>
      <c r="BG294" s="8"/>
      <c r="BH294" s="8"/>
    </row>
    <row r="295" spans="2:60">
      <c r="B295" s="11"/>
      <c r="C295" s="12"/>
      <c r="D295" s="8"/>
      <c r="E295" s="13"/>
      <c r="F295" s="14"/>
      <c r="G295" s="13"/>
      <c r="H295" s="1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2">
        <v>3569</v>
      </c>
      <c r="AK295" s="118">
        <v>171</v>
      </c>
      <c r="AL295" s="119" t="s">
        <v>117</v>
      </c>
      <c r="AM295" s="119" t="s">
        <v>119</v>
      </c>
      <c r="AN295" s="119" t="s">
        <v>121</v>
      </c>
      <c r="AO295" s="119" t="s">
        <v>118</v>
      </c>
      <c r="AP295" s="119" t="s">
        <v>113</v>
      </c>
      <c r="AQ295" s="119" t="s">
        <v>120</v>
      </c>
      <c r="AR295" s="119" t="s">
        <v>124</v>
      </c>
      <c r="AS295" s="119" t="s">
        <v>123</v>
      </c>
      <c r="AT295" s="8"/>
      <c r="AU295" s="8">
        <f t="shared" si="24"/>
        <v>16</v>
      </c>
      <c r="AV295" s="8">
        <f t="shared" si="25"/>
        <v>64</v>
      </c>
      <c r="AW295" s="8">
        <f t="shared" si="26"/>
        <v>256</v>
      </c>
      <c r="AX295" s="8">
        <f t="shared" si="27"/>
        <v>32</v>
      </c>
      <c r="AY295" s="8">
        <f t="shared" si="28"/>
        <v>1</v>
      </c>
      <c r="AZ295" s="8">
        <f t="shared" si="29"/>
        <v>128</v>
      </c>
      <c r="BA295" s="8">
        <f t="shared" si="30"/>
        <v>2048</v>
      </c>
      <c r="BB295" s="8">
        <f t="shared" si="31"/>
        <v>1024</v>
      </c>
      <c r="BC295" s="8">
        <f t="shared" si="32"/>
        <v>3569</v>
      </c>
      <c r="BD295" s="8"/>
      <c r="BE295" s="8"/>
      <c r="BF295" s="8"/>
      <c r="BG295" s="8"/>
      <c r="BH295" s="8"/>
    </row>
    <row r="296" spans="2:60">
      <c r="B296" s="11"/>
      <c r="C296" s="12"/>
      <c r="D296" s="8"/>
      <c r="E296" s="13"/>
      <c r="F296" s="14"/>
      <c r="G296" s="13"/>
      <c r="H296" s="1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2">
        <v>3057</v>
      </c>
      <c r="AK296" s="118">
        <v>172</v>
      </c>
      <c r="AL296" s="119" t="s">
        <v>117</v>
      </c>
      <c r="AM296" s="119" t="s">
        <v>119</v>
      </c>
      <c r="AN296" s="119" t="s">
        <v>122</v>
      </c>
      <c r="AO296" s="119" t="s">
        <v>118</v>
      </c>
      <c r="AP296" s="119" t="s">
        <v>113</v>
      </c>
      <c r="AQ296" s="119" t="s">
        <v>120</v>
      </c>
      <c r="AR296" s="119" t="s">
        <v>124</v>
      </c>
      <c r="AS296" s="119" t="s">
        <v>121</v>
      </c>
      <c r="AT296" s="8"/>
      <c r="AU296" s="8">
        <f t="shared" si="24"/>
        <v>16</v>
      </c>
      <c r="AV296" s="8">
        <f t="shared" si="25"/>
        <v>64</v>
      </c>
      <c r="AW296" s="8">
        <f t="shared" si="26"/>
        <v>512</v>
      </c>
      <c r="AX296" s="8">
        <f t="shared" si="27"/>
        <v>32</v>
      </c>
      <c r="AY296" s="8">
        <f t="shared" si="28"/>
        <v>1</v>
      </c>
      <c r="AZ296" s="8">
        <f t="shared" si="29"/>
        <v>128</v>
      </c>
      <c r="BA296" s="8">
        <f t="shared" si="30"/>
        <v>2048</v>
      </c>
      <c r="BB296" s="8">
        <f t="shared" si="31"/>
        <v>256</v>
      </c>
      <c r="BC296" s="8">
        <f t="shared" si="32"/>
        <v>3057</v>
      </c>
      <c r="BD296" s="8"/>
      <c r="BE296" s="8"/>
      <c r="BF296" s="8"/>
      <c r="BG296" s="8"/>
      <c r="BH296" s="8"/>
    </row>
    <row r="297" spans="2:60">
      <c r="B297" s="11"/>
      <c r="C297" s="12"/>
      <c r="D297" s="8"/>
      <c r="E297" s="13"/>
      <c r="F297" s="14"/>
      <c r="G297" s="13"/>
      <c r="H297" s="1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2">
        <v>2033</v>
      </c>
      <c r="AK297" s="118">
        <v>173</v>
      </c>
      <c r="AL297" s="119" t="s">
        <v>117</v>
      </c>
      <c r="AM297" s="119" t="s">
        <v>119</v>
      </c>
      <c r="AN297" s="119" t="s">
        <v>122</v>
      </c>
      <c r="AO297" s="119" t="s">
        <v>118</v>
      </c>
      <c r="AP297" s="119" t="s">
        <v>113</v>
      </c>
      <c r="AQ297" s="119" t="s">
        <v>120</v>
      </c>
      <c r="AR297" s="119" t="s">
        <v>121</v>
      </c>
      <c r="AS297" s="119" t="s">
        <v>123</v>
      </c>
      <c r="AT297" s="8"/>
      <c r="AU297" s="8">
        <f t="shared" si="24"/>
        <v>16</v>
      </c>
      <c r="AV297" s="8">
        <f t="shared" si="25"/>
        <v>64</v>
      </c>
      <c r="AW297" s="8">
        <f t="shared" si="26"/>
        <v>512</v>
      </c>
      <c r="AX297" s="8">
        <f t="shared" si="27"/>
        <v>32</v>
      </c>
      <c r="AY297" s="8">
        <f t="shared" si="28"/>
        <v>1</v>
      </c>
      <c r="AZ297" s="8">
        <f t="shared" si="29"/>
        <v>128</v>
      </c>
      <c r="BA297" s="8">
        <f t="shared" si="30"/>
        <v>256</v>
      </c>
      <c r="BB297" s="8">
        <f t="shared" si="31"/>
        <v>1024</v>
      </c>
      <c r="BC297" s="8">
        <f t="shared" si="32"/>
        <v>2033</v>
      </c>
      <c r="BD297" s="8"/>
      <c r="BE297" s="8"/>
      <c r="BF297" s="8"/>
      <c r="BG297" s="8"/>
      <c r="BH297" s="8"/>
    </row>
    <row r="298" spans="2:60">
      <c r="B298" s="11"/>
      <c r="C298" s="12"/>
      <c r="D298" s="8"/>
      <c r="E298" s="13"/>
      <c r="F298" s="14"/>
      <c r="G298" s="13"/>
      <c r="H298" s="15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2">
        <v>4041</v>
      </c>
      <c r="AK298" s="118">
        <v>174</v>
      </c>
      <c r="AL298" s="119" t="s">
        <v>120</v>
      </c>
      <c r="AM298" s="119" t="s">
        <v>122</v>
      </c>
      <c r="AN298" s="119" t="s">
        <v>121</v>
      </c>
      <c r="AO298" s="119" t="s">
        <v>116</v>
      </c>
      <c r="AP298" s="119" t="s">
        <v>113</v>
      </c>
      <c r="AQ298" s="119" t="s">
        <v>119</v>
      </c>
      <c r="AR298" s="119" t="s">
        <v>124</v>
      </c>
      <c r="AS298" s="119" t="s">
        <v>123</v>
      </c>
      <c r="AT298" s="8"/>
      <c r="AU298" s="8">
        <f t="shared" si="24"/>
        <v>128</v>
      </c>
      <c r="AV298" s="8">
        <f t="shared" si="25"/>
        <v>512</v>
      </c>
      <c r="AW298" s="8">
        <f t="shared" si="26"/>
        <v>256</v>
      </c>
      <c r="AX298" s="8">
        <f t="shared" si="27"/>
        <v>8</v>
      </c>
      <c r="AY298" s="8">
        <f t="shared" si="28"/>
        <v>1</v>
      </c>
      <c r="AZ298" s="8">
        <f t="shared" si="29"/>
        <v>64</v>
      </c>
      <c r="BA298" s="8">
        <f t="shared" si="30"/>
        <v>2048</v>
      </c>
      <c r="BB298" s="8">
        <f t="shared" si="31"/>
        <v>1024</v>
      </c>
      <c r="BC298" s="8">
        <f t="shared" si="32"/>
        <v>4041</v>
      </c>
      <c r="BD298" s="8"/>
      <c r="BE298" s="8"/>
      <c r="BF298" s="8"/>
      <c r="BG298" s="8"/>
      <c r="BH298" s="8"/>
    </row>
    <row r="299" spans="2:60">
      <c r="B299" s="11"/>
      <c r="C299" s="12"/>
      <c r="D299" s="8"/>
      <c r="E299" s="13"/>
      <c r="F299" s="14"/>
      <c r="G299" s="13"/>
      <c r="H299" s="1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2">
        <v>4009</v>
      </c>
      <c r="AK299" s="118">
        <v>175</v>
      </c>
      <c r="AL299" s="119" t="s">
        <v>120</v>
      </c>
      <c r="AM299" s="119" t="s">
        <v>122</v>
      </c>
      <c r="AN299" s="119" t="s">
        <v>121</v>
      </c>
      <c r="AO299" s="119" t="s">
        <v>116</v>
      </c>
      <c r="AP299" s="119" t="s">
        <v>113</v>
      </c>
      <c r="AQ299" s="119" t="s">
        <v>118</v>
      </c>
      <c r="AR299" s="119" t="s">
        <v>124</v>
      </c>
      <c r="AS299" s="119" t="s">
        <v>123</v>
      </c>
      <c r="AT299" s="8"/>
      <c r="AU299" s="8">
        <f t="shared" si="24"/>
        <v>128</v>
      </c>
      <c r="AV299" s="8">
        <f t="shared" si="25"/>
        <v>512</v>
      </c>
      <c r="AW299" s="8">
        <f t="shared" si="26"/>
        <v>256</v>
      </c>
      <c r="AX299" s="8">
        <f t="shared" si="27"/>
        <v>8</v>
      </c>
      <c r="AY299" s="8">
        <f t="shared" si="28"/>
        <v>1</v>
      </c>
      <c r="AZ299" s="8">
        <f t="shared" si="29"/>
        <v>32</v>
      </c>
      <c r="BA299" s="8">
        <f t="shared" si="30"/>
        <v>2048</v>
      </c>
      <c r="BB299" s="8">
        <f t="shared" si="31"/>
        <v>1024</v>
      </c>
      <c r="BC299" s="8">
        <f t="shared" si="32"/>
        <v>4009</v>
      </c>
      <c r="BD299" s="8"/>
      <c r="BE299" s="8"/>
      <c r="BF299" s="8"/>
      <c r="BG299" s="8"/>
      <c r="BH299" s="8"/>
    </row>
    <row r="300" spans="2:60">
      <c r="B300" s="11"/>
      <c r="C300" s="12"/>
      <c r="D300" s="8"/>
      <c r="E300" s="13"/>
      <c r="F300" s="14"/>
      <c r="G300" s="13"/>
      <c r="H300" s="1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2">
        <v>3945</v>
      </c>
      <c r="AK300" s="118">
        <v>176</v>
      </c>
      <c r="AL300" s="119" t="s">
        <v>121</v>
      </c>
      <c r="AM300" s="119" t="s">
        <v>119</v>
      </c>
      <c r="AN300" s="119" t="s">
        <v>122</v>
      </c>
      <c r="AO300" s="119" t="s">
        <v>116</v>
      </c>
      <c r="AP300" s="119" t="s">
        <v>113</v>
      </c>
      <c r="AQ300" s="119" t="s">
        <v>118</v>
      </c>
      <c r="AR300" s="119" t="s">
        <v>124</v>
      </c>
      <c r="AS300" s="119" t="s">
        <v>123</v>
      </c>
      <c r="AT300" s="8"/>
      <c r="AU300" s="8">
        <f t="shared" si="24"/>
        <v>256</v>
      </c>
      <c r="AV300" s="8">
        <f t="shared" si="25"/>
        <v>64</v>
      </c>
      <c r="AW300" s="8">
        <f t="shared" si="26"/>
        <v>512</v>
      </c>
      <c r="AX300" s="8">
        <f t="shared" si="27"/>
        <v>8</v>
      </c>
      <c r="AY300" s="8">
        <f t="shared" si="28"/>
        <v>1</v>
      </c>
      <c r="AZ300" s="8">
        <f t="shared" si="29"/>
        <v>32</v>
      </c>
      <c r="BA300" s="8">
        <f t="shared" si="30"/>
        <v>2048</v>
      </c>
      <c r="BB300" s="8">
        <f t="shared" si="31"/>
        <v>1024</v>
      </c>
      <c r="BC300" s="8">
        <f t="shared" si="32"/>
        <v>3945</v>
      </c>
      <c r="BD300" s="8"/>
      <c r="BE300" s="8"/>
      <c r="BF300" s="8"/>
      <c r="BG300" s="8"/>
      <c r="BH300" s="8"/>
    </row>
    <row r="301" spans="2:60">
      <c r="B301" s="11"/>
      <c r="C301" s="12"/>
      <c r="D301" s="8"/>
      <c r="E301" s="13"/>
      <c r="F301" s="14"/>
      <c r="G301" s="13"/>
      <c r="H301" s="1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2">
        <v>3817</v>
      </c>
      <c r="AK301" s="118">
        <v>177</v>
      </c>
      <c r="AL301" s="119" t="s">
        <v>120</v>
      </c>
      <c r="AM301" s="119" t="s">
        <v>119</v>
      </c>
      <c r="AN301" s="119" t="s">
        <v>122</v>
      </c>
      <c r="AO301" s="119" t="s">
        <v>116</v>
      </c>
      <c r="AP301" s="119" t="s">
        <v>113</v>
      </c>
      <c r="AQ301" s="119" t="s">
        <v>118</v>
      </c>
      <c r="AR301" s="119" t="s">
        <v>124</v>
      </c>
      <c r="AS301" s="119" t="s">
        <v>123</v>
      </c>
      <c r="AT301" s="8"/>
      <c r="AU301" s="8">
        <f t="shared" si="24"/>
        <v>128</v>
      </c>
      <c r="AV301" s="8">
        <f t="shared" si="25"/>
        <v>64</v>
      </c>
      <c r="AW301" s="8">
        <f t="shared" si="26"/>
        <v>512</v>
      </c>
      <c r="AX301" s="8">
        <f t="shared" si="27"/>
        <v>8</v>
      </c>
      <c r="AY301" s="8">
        <f t="shared" si="28"/>
        <v>1</v>
      </c>
      <c r="AZ301" s="8">
        <f t="shared" si="29"/>
        <v>32</v>
      </c>
      <c r="BA301" s="8">
        <f t="shared" si="30"/>
        <v>2048</v>
      </c>
      <c r="BB301" s="8">
        <f t="shared" si="31"/>
        <v>1024</v>
      </c>
      <c r="BC301" s="8">
        <f t="shared" si="32"/>
        <v>3817</v>
      </c>
      <c r="BD301" s="8"/>
      <c r="BE301" s="8"/>
      <c r="BF301" s="8"/>
      <c r="BG301" s="8"/>
      <c r="BH301" s="8"/>
    </row>
    <row r="302" spans="2:60">
      <c r="B302" s="11"/>
      <c r="C302" s="12"/>
      <c r="D302" s="8"/>
      <c r="E302" s="13"/>
      <c r="F302" s="14"/>
      <c r="G302" s="13"/>
      <c r="H302" s="15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2">
        <v>3561</v>
      </c>
      <c r="AK302" s="118">
        <v>178</v>
      </c>
      <c r="AL302" s="119" t="s">
        <v>120</v>
      </c>
      <c r="AM302" s="119" t="s">
        <v>119</v>
      </c>
      <c r="AN302" s="119" t="s">
        <v>121</v>
      </c>
      <c r="AO302" s="119" t="s">
        <v>116</v>
      </c>
      <c r="AP302" s="119" t="s">
        <v>113</v>
      </c>
      <c r="AQ302" s="119" t="s">
        <v>118</v>
      </c>
      <c r="AR302" s="119" t="s">
        <v>124</v>
      </c>
      <c r="AS302" s="119" t="s">
        <v>123</v>
      </c>
      <c r="AT302" s="8"/>
      <c r="AU302" s="8">
        <f t="shared" si="24"/>
        <v>128</v>
      </c>
      <c r="AV302" s="8">
        <f t="shared" si="25"/>
        <v>64</v>
      </c>
      <c r="AW302" s="8">
        <f t="shared" si="26"/>
        <v>256</v>
      </c>
      <c r="AX302" s="8">
        <f t="shared" si="27"/>
        <v>8</v>
      </c>
      <c r="AY302" s="8">
        <f t="shared" si="28"/>
        <v>1</v>
      </c>
      <c r="AZ302" s="8">
        <f t="shared" si="29"/>
        <v>32</v>
      </c>
      <c r="BA302" s="8">
        <f t="shared" si="30"/>
        <v>2048</v>
      </c>
      <c r="BB302" s="8">
        <f t="shared" si="31"/>
        <v>1024</v>
      </c>
      <c r="BC302" s="8">
        <f t="shared" si="32"/>
        <v>3561</v>
      </c>
      <c r="BD302" s="8"/>
      <c r="BE302" s="8"/>
      <c r="BF302" s="8"/>
      <c r="BG302" s="8"/>
      <c r="BH302" s="8"/>
    </row>
    <row r="303" spans="2:60">
      <c r="B303" s="11"/>
      <c r="C303" s="12"/>
      <c r="D303" s="8"/>
      <c r="E303" s="13"/>
      <c r="F303" s="14"/>
      <c r="G303" s="13"/>
      <c r="H303" s="1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2">
        <v>3049</v>
      </c>
      <c r="AK303" s="118">
        <v>179</v>
      </c>
      <c r="AL303" s="119" t="s">
        <v>120</v>
      </c>
      <c r="AM303" s="119" t="s">
        <v>119</v>
      </c>
      <c r="AN303" s="119" t="s">
        <v>122</v>
      </c>
      <c r="AO303" s="119" t="s">
        <v>116</v>
      </c>
      <c r="AP303" s="119" t="s">
        <v>113</v>
      </c>
      <c r="AQ303" s="119" t="s">
        <v>118</v>
      </c>
      <c r="AR303" s="119" t="s">
        <v>124</v>
      </c>
      <c r="AS303" s="119" t="s">
        <v>121</v>
      </c>
      <c r="AT303" s="8"/>
      <c r="AU303" s="8">
        <f t="shared" si="24"/>
        <v>128</v>
      </c>
      <c r="AV303" s="8">
        <f t="shared" si="25"/>
        <v>64</v>
      </c>
      <c r="AW303" s="8">
        <f t="shared" si="26"/>
        <v>512</v>
      </c>
      <c r="AX303" s="8">
        <f t="shared" si="27"/>
        <v>8</v>
      </c>
      <c r="AY303" s="8">
        <f t="shared" si="28"/>
        <v>1</v>
      </c>
      <c r="AZ303" s="8">
        <f t="shared" si="29"/>
        <v>32</v>
      </c>
      <c r="BA303" s="8">
        <f t="shared" si="30"/>
        <v>2048</v>
      </c>
      <c r="BB303" s="8">
        <f t="shared" si="31"/>
        <v>256</v>
      </c>
      <c r="BC303" s="8">
        <f t="shared" si="32"/>
        <v>3049</v>
      </c>
      <c r="BD303" s="8"/>
      <c r="BE303" s="8"/>
      <c r="BF303" s="8"/>
      <c r="BG303" s="8"/>
      <c r="BH303" s="8"/>
    </row>
    <row r="304" spans="2:60">
      <c r="B304" s="11"/>
      <c r="C304" s="12"/>
      <c r="D304" s="8"/>
      <c r="E304" s="13"/>
      <c r="F304" s="14"/>
      <c r="G304" s="13"/>
      <c r="H304" s="1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2">
        <v>2025</v>
      </c>
      <c r="AK304" s="118">
        <v>180</v>
      </c>
      <c r="AL304" s="119" t="s">
        <v>120</v>
      </c>
      <c r="AM304" s="119" t="s">
        <v>119</v>
      </c>
      <c r="AN304" s="119" t="s">
        <v>122</v>
      </c>
      <c r="AO304" s="119" t="s">
        <v>116</v>
      </c>
      <c r="AP304" s="119" t="s">
        <v>113</v>
      </c>
      <c r="AQ304" s="119" t="s">
        <v>118</v>
      </c>
      <c r="AR304" s="119" t="s">
        <v>121</v>
      </c>
      <c r="AS304" s="119" t="s">
        <v>123</v>
      </c>
      <c r="AT304" s="8"/>
      <c r="AU304" s="8">
        <f t="shared" si="24"/>
        <v>128</v>
      </c>
      <c r="AV304" s="8">
        <f t="shared" si="25"/>
        <v>64</v>
      </c>
      <c r="AW304" s="8">
        <f t="shared" si="26"/>
        <v>512</v>
      </c>
      <c r="AX304" s="8">
        <f t="shared" si="27"/>
        <v>8</v>
      </c>
      <c r="AY304" s="8">
        <f t="shared" si="28"/>
        <v>1</v>
      </c>
      <c r="AZ304" s="8">
        <f t="shared" si="29"/>
        <v>32</v>
      </c>
      <c r="BA304" s="8">
        <f t="shared" si="30"/>
        <v>256</v>
      </c>
      <c r="BB304" s="8">
        <f t="shared" si="31"/>
        <v>1024</v>
      </c>
      <c r="BC304" s="8">
        <f t="shared" si="32"/>
        <v>2025</v>
      </c>
      <c r="BD304" s="8"/>
      <c r="BE304" s="8"/>
      <c r="BF304" s="8"/>
      <c r="BG304" s="8"/>
      <c r="BH304" s="8"/>
    </row>
    <row r="305" spans="2:60">
      <c r="B305" s="11"/>
      <c r="C305" s="12"/>
      <c r="D305" s="8"/>
      <c r="E305" s="13"/>
      <c r="F305" s="14"/>
      <c r="G305" s="13"/>
      <c r="H305" s="15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2">
        <v>3993</v>
      </c>
      <c r="AK305" s="118">
        <v>181</v>
      </c>
      <c r="AL305" s="119" t="s">
        <v>117</v>
      </c>
      <c r="AM305" s="119" t="s">
        <v>122</v>
      </c>
      <c r="AN305" s="119" t="s">
        <v>121</v>
      </c>
      <c r="AO305" s="119" t="s">
        <v>116</v>
      </c>
      <c r="AP305" s="119" t="s">
        <v>113</v>
      </c>
      <c r="AQ305" s="119" t="s">
        <v>120</v>
      </c>
      <c r="AR305" s="119" t="s">
        <v>124</v>
      </c>
      <c r="AS305" s="119" t="s">
        <v>123</v>
      </c>
      <c r="AT305" s="8"/>
      <c r="AU305" s="8">
        <f t="shared" si="24"/>
        <v>16</v>
      </c>
      <c r="AV305" s="8">
        <f t="shared" si="25"/>
        <v>512</v>
      </c>
      <c r="AW305" s="8">
        <f t="shared" si="26"/>
        <v>256</v>
      </c>
      <c r="AX305" s="8">
        <f t="shared" si="27"/>
        <v>8</v>
      </c>
      <c r="AY305" s="8">
        <f t="shared" si="28"/>
        <v>1</v>
      </c>
      <c r="AZ305" s="8">
        <f t="shared" si="29"/>
        <v>128</v>
      </c>
      <c r="BA305" s="8">
        <f t="shared" si="30"/>
        <v>2048</v>
      </c>
      <c r="BB305" s="8">
        <f t="shared" si="31"/>
        <v>1024</v>
      </c>
      <c r="BC305" s="8">
        <f t="shared" si="32"/>
        <v>3993</v>
      </c>
      <c r="BD305" s="8"/>
      <c r="BE305" s="8"/>
      <c r="BF305" s="8"/>
      <c r="BG305" s="8"/>
      <c r="BH305" s="8"/>
    </row>
    <row r="306" spans="2:60">
      <c r="B306" s="11"/>
      <c r="C306" s="12"/>
      <c r="D306" s="8"/>
      <c r="E306" s="13"/>
      <c r="F306" s="14"/>
      <c r="G306" s="13"/>
      <c r="H306" s="1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2">
        <v>3929</v>
      </c>
      <c r="AK306" s="118">
        <v>182</v>
      </c>
      <c r="AL306" s="119" t="s">
        <v>117</v>
      </c>
      <c r="AM306" s="119" t="s">
        <v>122</v>
      </c>
      <c r="AN306" s="119" t="s">
        <v>121</v>
      </c>
      <c r="AO306" s="119" t="s">
        <v>116</v>
      </c>
      <c r="AP306" s="119" t="s">
        <v>113</v>
      </c>
      <c r="AQ306" s="119" t="s">
        <v>119</v>
      </c>
      <c r="AR306" s="119" t="s">
        <v>124</v>
      </c>
      <c r="AS306" s="119" t="s">
        <v>123</v>
      </c>
      <c r="AT306" s="8"/>
      <c r="AU306" s="8">
        <f t="shared" si="24"/>
        <v>16</v>
      </c>
      <c r="AV306" s="8">
        <f t="shared" si="25"/>
        <v>512</v>
      </c>
      <c r="AW306" s="8">
        <f t="shared" si="26"/>
        <v>256</v>
      </c>
      <c r="AX306" s="8">
        <f t="shared" si="27"/>
        <v>8</v>
      </c>
      <c r="AY306" s="8">
        <f t="shared" si="28"/>
        <v>1</v>
      </c>
      <c r="AZ306" s="8">
        <f t="shared" si="29"/>
        <v>64</v>
      </c>
      <c r="BA306" s="8">
        <f t="shared" si="30"/>
        <v>2048</v>
      </c>
      <c r="BB306" s="8">
        <f t="shared" si="31"/>
        <v>1024</v>
      </c>
      <c r="BC306" s="8">
        <f t="shared" si="32"/>
        <v>3929</v>
      </c>
      <c r="BD306" s="8"/>
      <c r="BE306" s="8"/>
      <c r="BF306" s="8"/>
      <c r="BG306" s="8"/>
      <c r="BH306" s="8"/>
    </row>
    <row r="307" spans="2:60">
      <c r="B307" s="11"/>
      <c r="C307" s="12"/>
      <c r="D307" s="8"/>
      <c r="E307" s="13"/>
      <c r="F307" s="14"/>
      <c r="G307" s="13"/>
      <c r="H307" s="1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2">
        <v>3801</v>
      </c>
      <c r="AK307" s="118">
        <v>183</v>
      </c>
      <c r="AL307" s="119" t="s">
        <v>117</v>
      </c>
      <c r="AM307" s="119" t="s">
        <v>119</v>
      </c>
      <c r="AN307" s="119" t="s">
        <v>122</v>
      </c>
      <c r="AO307" s="119" t="s">
        <v>116</v>
      </c>
      <c r="AP307" s="119" t="s">
        <v>113</v>
      </c>
      <c r="AQ307" s="119" t="s">
        <v>120</v>
      </c>
      <c r="AR307" s="119" t="s">
        <v>124</v>
      </c>
      <c r="AS307" s="119" t="s">
        <v>123</v>
      </c>
      <c r="AT307" s="8"/>
      <c r="AU307" s="8">
        <f t="shared" si="24"/>
        <v>16</v>
      </c>
      <c r="AV307" s="8">
        <f t="shared" si="25"/>
        <v>64</v>
      </c>
      <c r="AW307" s="8">
        <f t="shared" si="26"/>
        <v>512</v>
      </c>
      <c r="AX307" s="8">
        <f t="shared" si="27"/>
        <v>8</v>
      </c>
      <c r="AY307" s="8">
        <f t="shared" si="28"/>
        <v>1</v>
      </c>
      <c r="AZ307" s="8">
        <f t="shared" si="29"/>
        <v>128</v>
      </c>
      <c r="BA307" s="8">
        <f t="shared" si="30"/>
        <v>2048</v>
      </c>
      <c r="BB307" s="8">
        <f t="shared" si="31"/>
        <v>1024</v>
      </c>
      <c r="BC307" s="8">
        <f t="shared" si="32"/>
        <v>3801</v>
      </c>
      <c r="BD307" s="8"/>
      <c r="BE307" s="8"/>
      <c r="BF307" s="8"/>
      <c r="BG307" s="8"/>
      <c r="BH307" s="8"/>
    </row>
    <row r="308" spans="2:60">
      <c r="B308" s="11"/>
      <c r="C308" s="12"/>
      <c r="D308" s="8"/>
      <c r="E308" s="13"/>
      <c r="F308" s="14"/>
      <c r="G308" s="13"/>
      <c r="H308" s="15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2">
        <v>3545</v>
      </c>
      <c r="AK308" s="118">
        <v>184</v>
      </c>
      <c r="AL308" s="119" t="s">
        <v>117</v>
      </c>
      <c r="AM308" s="119" t="s">
        <v>119</v>
      </c>
      <c r="AN308" s="119" t="s">
        <v>121</v>
      </c>
      <c r="AO308" s="119" t="s">
        <v>116</v>
      </c>
      <c r="AP308" s="119" t="s">
        <v>113</v>
      </c>
      <c r="AQ308" s="119" t="s">
        <v>120</v>
      </c>
      <c r="AR308" s="119" t="s">
        <v>124</v>
      </c>
      <c r="AS308" s="119" t="s">
        <v>123</v>
      </c>
      <c r="AT308" s="8"/>
      <c r="AU308" s="8">
        <f t="shared" si="24"/>
        <v>16</v>
      </c>
      <c r="AV308" s="8">
        <f t="shared" si="25"/>
        <v>64</v>
      </c>
      <c r="AW308" s="8">
        <f t="shared" si="26"/>
        <v>256</v>
      </c>
      <c r="AX308" s="8">
        <f t="shared" si="27"/>
        <v>8</v>
      </c>
      <c r="AY308" s="8">
        <f t="shared" si="28"/>
        <v>1</v>
      </c>
      <c r="AZ308" s="8">
        <f t="shared" si="29"/>
        <v>128</v>
      </c>
      <c r="BA308" s="8">
        <f t="shared" si="30"/>
        <v>2048</v>
      </c>
      <c r="BB308" s="8">
        <f t="shared" si="31"/>
        <v>1024</v>
      </c>
      <c r="BC308" s="8">
        <f t="shared" si="32"/>
        <v>3545</v>
      </c>
      <c r="BD308" s="8"/>
      <c r="BE308" s="8"/>
      <c r="BF308" s="8"/>
      <c r="BG308" s="8"/>
      <c r="BH308" s="8"/>
    </row>
    <row r="309" spans="2:60">
      <c r="B309" s="11"/>
      <c r="C309" s="12"/>
      <c r="D309" s="8"/>
      <c r="E309" s="13"/>
      <c r="F309" s="14"/>
      <c r="G309" s="13"/>
      <c r="H309" s="1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2">
        <v>3033</v>
      </c>
      <c r="AK309" s="118">
        <v>185</v>
      </c>
      <c r="AL309" s="119" t="s">
        <v>117</v>
      </c>
      <c r="AM309" s="119" t="s">
        <v>119</v>
      </c>
      <c r="AN309" s="119" t="s">
        <v>122</v>
      </c>
      <c r="AO309" s="119" t="s">
        <v>116</v>
      </c>
      <c r="AP309" s="119" t="s">
        <v>113</v>
      </c>
      <c r="AQ309" s="119" t="s">
        <v>120</v>
      </c>
      <c r="AR309" s="119" t="s">
        <v>124</v>
      </c>
      <c r="AS309" s="119" t="s">
        <v>121</v>
      </c>
      <c r="AT309" s="8"/>
      <c r="AU309" s="8">
        <f t="shared" si="24"/>
        <v>16</v>
      </c>
      <c r="AV309" s="8">
        <f t="shared" si="25"/>
        <v>64</v>
      </c>
      <c r="AW309" s="8">
        <f t="shared" si="26"/>
        <v>512</v>
      </c>
      <c r="AX309" s="8">
        <f t="shared" si="27"/>
        <v>8</v>
      </c>
      <c r="AY309" s="8">
        <f t="shared" si="28"/>
        <v>1</v>
      </c>
      <c r="AZ309" s="8">
        <f t="shared" si="29"/>
        <v>128</v>
      </c>
      <c r="BA309" s="8">
        <f t="shared" si="30"/>
        <v>2048</v>
      </c>
      <c r="BB309" s="8">
        <f t="shared" si="31"/>
        <v>256</v>
      </c>
      <c r="BC309" s="8">
        <f t="shared" si="32"/>
        <v>3033</v>
      </c>
      <c r="BD309" s="8"/>
      <c r="BE309" s="8"/>
      <c r="BF309" s="8"/>
      <c r="BG309" s="8"/>
      <c r="BH309" s="8"/>
    </row>
    <row r="310" spans="2:60">
      <c r="B310" s="11"/>
      <c r="C310" s="12"/>
      <c r="D310" s="8"/>
      <c r="E310" s="13"/>
      <c r="F310" s="14"/>
      <c r="G310" s="13"/>
      <c r="H310" s="1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2">
        <v>2009</v>
      </c>
      <c r="AK310" s="118">
        <v>186</v>
      </c>
      <c r="AL310" s="119" t="s">
        <v>117</v>
      </c>
      <c r="AM310" s="119" t="s">
        <v>119</v>
      </c>
      <c r="AN310" s="119" t="s">
        <v>122</v>
      </c>
      <c r="AO310" s="119" t="s">
        <v>116</v>
      </c>
      <c r="AP310" s="119" t="s">
        <v>113</v>
      </c>
      <c r="AQ310" s="119" t="s">
        <v>120</v>
      </c>
      <c r="AR310" s="119" t="s">
        <v>121</v>
      </c>
      <c r="AS310" s="119" t="s">
        <v>123</v>
      </c>
      <c r="AT310" s="8"/>
      <c r="AU310" s="8">
        <f t="shared" si="24"/>
        <v>16</v>
      </c>
      <c r="AV310" s="8">
        <f t="shared" si="25"/>
        <v>64</v>
      </c>
      <c r="AW310" s="8">
        <f t="shared" si="26"/>
        <v>512</v>
      </c>
      <c r="AX310" s="8">
        <f t="shared" si="27"/>
        <v>8</v>
      </c>
      <c r="AY310" s="8">
        <f t="shared" si="28"/>
        <v>1</v>
      </c>
      <c r="AZ310" s="8">
        <f t="shared" si="29"/>
        <v>128</v>
      </c>
      <c r="BA310" s="8">
        <f t="shared" si="30"/>
        <v>256</v>
      </c>
      <c r="BB310" s="8">
        <f t="shared" si="31"/>
        <v>1024</v>
      </c>
      <c r="BC310" s="8">
        <f t="shared" si="32"/>
        <v>2009</v>
      </c>
      <c r="BD310" s="8"/>
      <c r="BE310" s="8"/>
      <c r="BF310" s="8"/>
      <c r="BG310" s="8"/>
      <c r="BH310" s="8"/>
    </row>
    <row r="311" spans="2:60">
      <c r="B311" s="11"/>
      <c r="C311" s="12"/>
      <c r="D311" s="8"/>
      <c r="E311" s="13"/>
      <c r="F311" s="14"/>
      <c r="G311" s="13"/>
      <c r="H311" s="15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2">
        <v>3897</v>
      </c>
      <c r="AK311" s="118">
        <v>187</v>
      </c>
      <c r="AL311" s="119" t="s">
        <v>117</v>
      </c>
      <c r="AM311" s="119" t="s">
        <v>122</v>
      </c>
      <c r="AN311" s="119" t="s">
        <v>121</v>
      </c>
      <c r="AO311" s="119" t="s">
        <v>116</v>
      </c>
      <c r="AP311" s="119" t="s">
        <v>113</v>
      </c>
      <c r="AQ311" s="119" t="s">
        <v>118</v>
      </c>
      <c r="AR311" s="119" t="s">
        <v>124</v>
      </c>
      <c r="AS311" s="119" t="s">
        <v>123</v>
      </c>
      <c r="AT311" s="8"/>
      <c r="AU311" s="8">
        <f t="shared" si="24"/>
        <v>16</v>
      </c>
      <c r="AV311" s="8">
        <f t="shared" si="25"/>
        <v>512</v>
      </c>
      <c r="AW311" s="8">
        <f t="shared" si="26"/>
        <v>256</v>
      </c>
      <c r="AX311" s="8">
        <f t="shared" si="27"/>
        <v>8</v>
      </c>
      <c r="AY311" s="8">
        <f t="shared" si="28"/>
        <v>1</v>
      </c>
      <c r="AZ311" s="8">
        <f t="shared" si="29"/>
        <v>32</v>
      </c>
      <c r="BA311" s="8">
        <f t="shared" si="30"/>
        <v>2048</v>
      </c>
      <c r="BB311" s="8">
        <f t="shared" si="31"/>
        <v>1024</v>
      </c>
      <c r="BC311" s="8">
        <f t="shared" si="32"/>
        <v>3897</v>
      </c>
      <c r="BD311" s="8"/>
      <c r="BE311" s="8"/>
      <c r="BF311" s="8"/>
      <c r="BG311" s="8"/>
      <c r="BH311" s="8"/>
    </row>
    <row r="312" spans="2:60">
      <c r="B312" s="11"/>
      <c r="C312" s="12"/>
      <c r="D312" s="8"/>
      <c r="E312" s="13"/>
      <c r="F312" s="14"/>
      <c r="G312" s="13"/>
      <c r="H312" s="1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2">
        <v>3769</v>
      </c>
      <c r="AK312" s="118">
        <v>188</v>
      </c>
      <c r="AL312" s="119" t="s">
        <v>120</v>
      </c>
      <c r="AM312" s="119" t="s">
        <v>122</v>
      </c>
      <c r="AN312" s="119" t="s">
        <v>117</v>
      </c>
      <c r="AO312" s="119" t="s">
        <v>116</v>
      </c>
      <c r="AP312" s="119" t="s">
        <v>113</v>
      </c>
      <c r="AQ312" s="119" t="s">
        <v>118</v>
      </c>
      <c r="AR312" s="119" t="s">
        <v>124</v>
      </c>
      <c r="AS312" s="119" t="s">
        <v>123</v>
      </c>
      <c r="AT312" s="8"/>
      <c r="AU312" s="8">
        <f t="shared" si="24"/>
        <v>128</v>
      </c>
      <c r="AV312" s="8">
        <f t="shared" si="25"/>
        <v>512</v>
      </c>
      <c r="AW312" s="8">
        <f t="shared" si="26"/>
        <v>16</v>
      </c>
      <c r="AX312" s="8">
        <f t="shared" si="27"/>
        <v>8</v>
      </c>
      <c r="AY312" s="8">
        <f t="shared" si="28"/>
        <v>1</v>
      </c>
      <c r="AZ312" s="8">
        <f t="shared" si="29"/>
        <v>32</v>
      </c>
      <c r="BA312" s="8">
        <f t="shared" si="30"/>
        <v>2048</v>
      </c>
      <c r="BB312" s="8">
        <f t="shared" si="31"/>
        <v>1024</v>
      </c>
      <c r="BC312" s="8">
        <f t="shared" si="32"/>
        <v>3769</v>
      </c>
      <c r="BD312" s="8"/>
      <c r="BE312" s="8"/>
      <c r="BF312" s="8"/>
      <c r="BG312" s="8"/>
      <c r="BH312" s="8"/>
    </row>
    <row r="313" spans="2:60">
      <c r="B313" s="11"/>
      <c r="C313" s="12"/>
      <c r="D313" s="8"/>
      <c r="E313" s="13"/>
      <c r="F313" s="14"/>
      <c r="G313" s="13"/>
      <c r="H313" s="1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2">
        <v>3513</v>
      </c>
      <c r="AK313" s="118">
        <v>189</v>
      </c>
      <c r="AL313" s="119" t="s">
        <v>120</v>
      </c>
      <c r="AM313" s="119" t="s">
        <v>117</v>
      </c>
      <c r="AN313" s="119" t="s">
        <v>121</v>
      </c>
      <c r="AO313" s="119" t="s">
        <v>116</v>
      </c>
      <c r="AP313" s="119" t="s">
        <v>113</v>
      </c>
      <c r="AQ313" s="119" t="s">
        <v>118</v>
      </c>
      <c r="AR313" s="119" t="s">
        <v>124</v>
      </c>
      <c r="AS313" s="119" t="s">
        <v>123</v>
      </c>
      <c r="AT313" s="8"/>
      <c r="AU313" s="8">
        <f t="shared" si="24"/>
        <v>128</v>
      </c>
      <c r="AV313" s="8">
        <f t="shared" si="25"/>
        <v>16</v>
      </c>
      <c r="AW313" s="8">
        <f t="shared" si="26"/>
        <v>256</v>
      </c>
      <c r="AX313" s="8">
        <f t="shared" si="27"/>
        <v>8</v>
      </c>
      <c r="AY313" s="8">
        <f t="shared" si="28"/>
        <v>1</v>
      </c>
      <c r="AZ313" s="8">
        <f t="shared" si="29"/>
        <v>32</v>
      </c>
      <c r="BA313" s="8">
        <f t="shared" si="30"/>
        <v>2048</v>
      </c>
      <c r="BB313" s="8">
        <f t="shared" si="31"/>
        <v>1024</v>
      </c>
      <c r="BC313" s="8">
        <f t="shared" si="32"/>
        <v>3513</v>
      </c>
      <c r="BD313" s="8"/>
      <c r="BE313" s="8"/>
      <c r="BF313" s="8"/>
      <c r="BG313" s="8"/>
      <c r="BH313" s="8"/>
    </row>
    <row r="314" spans="2:60">
      <c r="B314" s="11"/>
      <c r="C314" s="12"/>
      <c r="D314" s="8"/>
      <c r="E314" s="13"/>
      <c r="F314" s="14"/>
      <c r="G314" s="13"/>
      <c r="H314" s="15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2">
        <v>3001</v>
      </c>
      <c r="AK314" s="118">
        <v>190</v>
      </c>
      <c r="AL314" s="119" t="s">
        <v>120</v>
      </c>
      <c r="AM314" s="119" t="s">
        <v>122</v>
      </c>
      <c r="AN314" s="119" t="s">
        <v>117</v>
      </c>
      <c r="AO314" s="119" t="s">
        <v>116</v>
      </c>
      <c r="AP314" s="119" t="s">
        <v>113</v>
      </c>
      <c r="AQ314" s="119" t="s">
        <v>118</v>
      </c>
      <c r="AR314" s="119" t="s">
        <v>124</v>
      </c>
      <c r="AS314" s="119" t="s">
        <v>121</v>
      </c>
      <c r="AT314" s="8"/>
      <c r="AU314" s="8">
        <f t="shared" si="24"/>
        <v>128</v>
      </c>
      <c r="AV314" s="8">
        <f t="shared" si="25"/>
        <v>512</v>
      </c>
      <c r="AW314" s="8">
        <f t="shared" si="26"/>
        <v>16</v>
      </c>
      <c r="AX314" s="8">
        <f t="shared" si="27"/>
        <v>8</v>
      </c>
      <c r="AY314" s="8">
        <f t="shared" si="28"/>
        <v>1</v>
      </c>
      <c r="AZ314" s="8">
        <f t="shared" si="29"/>
        <v>32</v>
      </c>
      <c r="BA314" s="8">
        <f t="shared" si="30"/>
        <v>2048</v>
      </c>
      <c r="BB314" s="8">
        <f t="shared" si="31"/>
        <v>256</v>
      </c>
      <c r="BC314" s="8">
        <f t="shared" si="32"/>
        <v>3001</v>
      </c>
      <c r="BD314" s="8"/>
      <c r="BE314" s="8"/>
      <c r="BF314" s="8"/>
      <c r="BG314" s="8"/>
      <c r="BH314" s="8"/>
    </row>
    <row r="315" spans="2:60">
      <c r="B315" s="11"/>
      <c r="C315" s="12"/>
      <c r="D315" s="8"/>
      <c r="E315" s="13"/>
      <c r="F315" s="14"/>
      <c r="G315" s="13"/>
      <c r="H315" s="1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2">
        <v>1977</v>
      </c>
      <c r="AK315" s="118">
        <v>191</v>
      </c>
      <c r="AL315" s="119" t="s">
        <v>120</v>
      </c>
      <c r="AM315" s="119" t="s">
        <v>122</v>
      </c>
      <c r="AN315" s="119" t="s">
        <v>117</v>
      </c>
      <c r="AO315" s="119" t="s">
        <v>116</v>
      </c>
      <c r="AP315" s="119" t="s">
        <v>113</v>
      </c>
      <c r="AQ315" s="119" t="s">
        <v>118</v>
      </c>
      <c r="AR315" s="119" t="s">
        <v>121</v>
      </c>
      <c r="AS315" s="119" t="s">
        <v>123</v>
      </c>
      <c r="AT315" s="8"/>
      <c r="AU315" s="8">
        <f t="shared" si="24"/>
        <v>128</v>
      </c>
      <c r="AV315" s="8">
        <f t="shared" si="25"/>
        <v>512</v>
      </c>
      <c r="AW315" s="8">
        <f t="shared" si="26"/>
        <v>16</v>
      </c>
      <c r="AX315" s="8">
        <f t="shared" si="27"/>
        <v>8</v>
      </c>
      <c r="AY315" s="8">
        <f t="shared" si="28"/>
        <v>1</v>
      </c>
      <c r="AZ315" s="8">
        <f t="shared" si="29"/>
        <v>32</v>
      </c>
      <c r="BA315" s="8">
        <f t="shared" si="30"/>
        <v>256</v>
      </c>
      <c r="BB315" s="8">
        <f t="shared" si="31"/>
        <v>1024</v>
      </c>
      <c r="BC315" s="8">
        <f t="shared" si="32"/>
        <v>1977</v>
      </c>
      <c r="BD315" s="8"/>
      <c r="BE315" s="8"/>
      <c r="BF315" s="8"/>
      <c r="BG315" s="8"/>
      <c r="BH315" s="8"/>
    </row>
    <row r="316" spans="2:60">
      <c r="B316" s="11"/>
      <c r="C316" s="12"/>
      <c r="D316" s="8"/>
      <c r="E316" s="13"/>
      <c r="F316" s="14"/>
      <c r="G316" s="13"/>
      <c r="H316" s="1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2">
        <v>3705</v>
      </c>
      <c r="AK316" s="118">
        <v>192</v>
      </c>
      <c r="AL316" s="119" t="s">
        <v>117</v>
      </c>
      <c r="AM316" s="119" t="s">
        <v>119</v>
      </c>
      <c r="AN316" s="119" t="s">
        <v>122</v>
      </c>
      <c r="AO316" s="119" t="s">
        <v>116</v>
      </c>
      <c r="AP316" s="119" t="s">
        <v>113</v>
      </c>
      <c r="AQ316" s="119" t="s">
        <v>118</v>
      </c>
      <c r="AR316" s="119" t="s">
        <v>124</v>
      </c>
      <c r="AS316" s="119" t="s">
        <v>123</v>
      </c>
      <c r="AT316" s="8"/>
      <c r="AU316" s="8">
        <f t="shared" si="24"/>
        <v>16</v>
      </c>
      <c r="AV316" s="8">
        <f t="shared" si="25"/>
        <v>64</v>
      </c>
      <c r="AW316" s="8">
        <f t="shared" si="26"/>
        <v>512</v>
      </c>
      <c r="AX316" s="8">
        <f t="shared" si="27"/>
        <v>8</v>
      </c>
      <c r="AY316" s="8">
        <f t="shared" si="28"/>
        <v>1</v>
      </c>
      <c r="AZ316" s="8">
        <f t="shared" si="29"/>
        <v>32</v>
      </c>
      <c r="BA316" s="8">
        <f t="shared" si="30"/>
        <v>2048</v>
      </c>
      <c r="BB316" s="8">
        <f t="shared" si="31"/>
        <v>1024</v>
      </c>
      <c r="BC316" s="8">
        <f t="shared" si="32"/>
        <v>3705</v>
      </c>
      <c r="BD316" s="8"/>
      <c r="BE316" s="8"/>
      <c r="BF316" s="8"/>
      <c r="BG316" s="8"/>
      <c r="BH316" s="8"/>
    </row>
    <row r="317" spans="2:60">
      <c r="B317" s="11"/>
      <c r="C317" s="12"/>
      <c r="D317" s="8"/>
      <c r="E317" s="13"/>
      <c r="F317" s="14"/>
      <c r="G317" s="13"/>
      <c r="H317" s="15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2">
        <v>3449</v>
      </c>
      <c r="AK317" s="118">
        <v>193</v>
      </c>
      <c r="AL317" s="119" t="s">
        <v>117</v>
      </c>
      <c r="AM317" s="119" t="s">
        <v>119</v>
      </c>
      <c r="AN317" s="119" t="s">
        <v>121</v>
      </c>
      <c r="AO317" s="119" t="s">
        <v>116</v>
      </c>
      <c r="AP317" s="119" t="s">
        <v>113</v>
      </c>
      <c r="AQ317" s="119" t="s">
        <v>118</v>
      </c>
      <c r="AR317" s="119" t="s">
        <v>124</v>
      </c>
      <c r="AS317" s="119" t="s">
        <v>123</v>
      </c>
      <c r="AT317" s="8"/>
      <c r="AU317" s="8">
        <f t="shared" ref="AU317:AU380" si="33">+VLOOKUP(AL317,$Q$105:$R$116,2)</f>
        <v>16</v>
      </c>
      <c r="AV317" s="8">
        <f t="shared" ref="AV317:AV380" si="34">+VLOOKUP(AM317,$Q$105:$R$116,2)</f>
        <v>64</v>
      </c>
      <c r="AW317" s="8">
        <f t="shared" ref="AW317:AW380" si="35">+VLOOKUP(AN317,$Q$105:$R$116,2)</f>
        <v>256</v>
      </c>
      <c r="AX317" s="8">
        <f t="shared" ref="AX317:AX380" si="36">+VLOOKUP(AO317,$Q$105:$R$116,2)</f>
        <v>8</v>
      </c>
      <c r="AY317" s="8">
        <f t="shared" ref="AY317:AY380" si="37">+VLOOKUP(AP317,$Q$105:$R$116,2)</f>
        <v>1</v>
      </c>
      <c r="AZ317" s="8">
        <f t="shared" ref="AZ317:AZ380" si="38">+VLOOKUP(AQ317,$Q$105:$R$116,2)</f>
        <v>32</v>
      </c>
      <c r="BA317" s="8">
        <f t="shared" ref="BA317:BA380" si="39">+VLOOKUP(AR317,$Q$105:$R$116,2)</f>
        <v>2048</v>
      </c>
      <c r="BB317" s="8">
        <f t="shared" ref="BB317:BB380" si="40">+VLOOKUP(AS317,$Q$105:$R$116,2)</f>
        <v>1024</v>
      </c>
      <c r="BC317" s="8">
        <f t="shared" ref="BC317:BC380" si="41">+SUM(AU317:BB317)</f>
        <v>3449</v>
      </c>
      <c r="BD317" s="8"/>
      <c r="BE317" s="8"/>
      <c r="BF317" s="8"/>
      <c r="BG317" s="8"/>
      <c r="BH317" s="8"/>
    </row>
    <row r="318" spans="2:60">
      <c r="B318" s="11"/>
      <c r="C318" s="12"/>
      <c r="D318" s="8"/>
      <c r="E318" s="13"/>
      <c r="F318" s="14"/>
      <c r="G318" s="13"/>
      <c r="H318" s="1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2">
        <v>2937</v>
      </c>
      <c r="AK318" s="118">
        <v>194</v>
      </c>
      <c r="AL318" s="119" t="s">
        <v>117</v>
      </c>
      <c r="AM318" s="119" t="s">
        <v>119</v>
      </c>
      <c r="AN318" s="119" t="s">
        <v>122</v>
      </c>
      <c r="AO318" s="119" t="s">
        <v>116</v>
      </c>
      <c r="AP318" s="119" t="s">
        <v>113</v>
      </c>
      <c r="AQ318" s="119" t="s">
        <v>118</v>
      </c>
      <c r="AR318" s="119" t="s">
        <v>124</v>
      </c>
      <c r="AS318" s="119" t="s">
        <v>121</v>
      </c>
      <c r="AT318" s="8"/>
      <c r="AU318" s="8">
        <f t="shared" si="33"/>
        <v>16</v>
      </c>
      <c r="AV318" s="8">
        <f t="shared" si="34"/>
        <v>64</v>
      </c>
      <c r="AW318" s="8">
        <f t="shared" si="35"/>
        <v>512</v>
      </c>
      <c r="AX318" s="8">
        <f t="shared" si="36"/>
        <v>8</v>
      </c>
      <c r="AY318" s="8">
        <f t="shared" si="37"/>
        <v>1</v>
      </c>
      <c r="AZ318" s="8">
        <f t="shared" si="38"/>
        <v>32</v>
      </c>
      <c r="BA318" s="8">
        <f t="shared" si="39"/>
        <v>2048</v>
      </c>
      <c r="BB318" s="8">
        <f t="shared" si="40"/>
        <v>256</v>
      </c>
      <c r="BC318" s="8">
        <f t="shared" si="41"/>
        <v>2937</v>
      </c>
      <c r="BD318" s="8"/>
      <c r="BE318" s="8"/>
      <c r="BF318" s="8"/>
      <c r="BG318" s="8"/>
      <c r="BH318" s="8"/>
    </row>
    <row r="319" spans="2:60">
      <c r="B319" s="11"/>
      <c r="C319" s="12"/>
      <c r="D319" s="8"/>
      <c r="E319" s="13"/>
      <c r="F319" s="14"/>
      <c r="G319" s="13"/>
      <c r="H319" s="1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2">
        <v>1913</v>
      </c>
      <c r="AK319" s="118">
        <v>195</v>
      </c>
      <c r="AL319" s="119" t="s">
        <v>117</v>
      </c>
      <c r="AM319" s="119" t="s">
        <v>119</v>
      </c>
      <c r="AN319" s="119" t="s">
        <v>122</v>
      </c>
      <c r="AO319" s="119" t="s">
        <v>116</v>
      </c>
      <c r="AP319" s="119" t="s">
        <v>113</v>
      </c>
      <c r="AQ319" s="119" t="s">
        <v>118</v>
      </c>
      <c r="AR319" s="119" t="s">
        <v>121</v>
      </c>
      <c r="AS319" s="119" t="s">
        <v>123</v>
      </c>
      <c r="AT319" s="8"/>
      <c r="AU319" s="8">
        <f t="shared" si="33"/>
        <v>16</v>
      </c>
      <c r="AV319" s="8">
        <f t="shared" si="34"/>
        <v>64</v>
      </c>
      <c r="AW319" s="8">
        <f t="shared" si="35"/>
        <v>512</v>
      </c>
      <c r="AX319" s="8">
        <f t="shared" si="36"/>
        <v>8</v>
      </c>
      <c r="AY319" s="8">
        <f t="shared" si="37"/>
        <v>1</v>
      </c>
      <c r="AZ319" s="8">
        <f t="shared" si="38"/>
        <v>32</v>
      </c>
      <c r="BA319" s="8">
        <f t="shared" si="39"/>
        <v>256</v>
      </c>
      <c r="BB319" s="8">
        <f t="shared" si="40"/>
        <v>1024</v>
      </c>
      <c r="BC319" s="8">
        <f t="shared" si="41"/>
        <v>1913</v>
      </c>
      <c r="BD319" s="8"/>
      <c r="BE319" s="8"/>
      <c r="BF319" s="8"/>
      <c r="BG319" s="8"/>
      <c r="BH319" s="8"/>
    </row>
    <row r="320" spans="2:60">
      <c r="B320" s="11"/>
      <c r="C320" s="12"/>
      <c r="D320" s="8"/>
      <c r="E320" s="13"/>
      <c r="F320" s="14"/>
      <c r="G320" s="13"/>
      <c r="H320" s="15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2">
        <v>3321</v>
      </c>
      <c r="AK320" s="118">
        <v>196</v>
      </c>
      <c r="AL320" s="119" t="s">
        <v>120</v>
      </c>
      <c r="AM320" s="119" t="s">
        <v>119</v>
      </c>
      <c r="AN320" s="119" t="s">
        <v>117</v>
      </c>
      <c r="AO320" s="119" t="s">
        <v>116</v>
      </c>
      <c r="AP320" s="119" t="s">
        <v>113</v>
      </c>
      <c r="AQ320" s="119" t="s">
        <v>118</v>
      </c>
      <c r="AR320" s="119" t="s">
        <v>124</v>
      </c>
      <c r="AS320" s="119" t="s">
        <v>123</v>
      </c>
      <c r="AT320" s="8"/>
      <c r="AU320" s="8">
        <f t="shared" si="33"/>
        <v>128</v>
      </c>
      <c r="AV320" s="8">
        <f t="shared" si="34"/>
        <v>64</v>
      </c>
      <c r="AW320" s="8">
        <f t="shared" si="35"/>
        <v>16</v>
      </c>
      <c r="AX320" s="8">
        <f t="shared" si="36"/>
        <v>8</v>
      </c>
      <c r="AY320" s="8">
        <f t="shared" si="37"/>
        <v>1</v>
      </c>
      <c r="AZ320" s="8">
        <f t="shared" si="38"/>
        <v>32</v>
      </c>
      <c r="BA320" s="8">
        <f t="shared" si="39"/>
        <v>2048</v>
      </c>
      <c r="BB320" s="8">
        <f t="shared" si="40"/>
        <v>1024</v>
      </c>
      <c r="BC320" s="8">
        <f t="shared" si="41"/>
        <v>3321</v>
      </c>
      <c r="BD320" s="8"/>
      <c r="BE320" s="8"/>
      <c r="BF320" s="8"/>
      <c r="BG320" s="8"/>
      <c r="BH320" s="8"/>
    </row>
    <row r="321" spans="2:60">
      <c r="B321" s="11"/>
      <c r="C321" s="12"/>
      <c r="D321" s="8"/>
      <c r="E321" s="13"/>
      <c r="F321" s="14"/>
      <c r="G321" s="13"/>
      <c r="H321" s="1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2">
        <v>2809</v>
      </c>
      <c r="AK321" s="118">
        <v>197</v>
      </c>
      <c r="AL321" s="119" t="s">
        <v>120</v>
      </c>
      <c r="AM321" s="119" t="s">
        <v>119</v>
      </c>
      <c r="AN321" s="119" t="s">
        <v>122</v>
      </c>
      <c r="AO321" s="119" t="s">
        <v>116</v>
      </c>
      <c r="AP321" s="119" t="s">
        <v>113</v>
      </c>
      <c r="AQ321" s="119" t="s">
        <v>118</v>
      </c>
      <c r="AR321" s="119" t="s">
        <v>124</v>
      </c>
      <c r="AS321" s="119" t="s">
        <v>117</v>
      </c>
      <c r="AT321" s="8"/>
      <c r="AU321" s="8">
        <f t="shared" si="33"/>
        <v>128</v>
      </c>
      <c r="AV321" s="8">
        <f t="shared" si="34"/>
        <v>64</v>
      </c>
      <c r="AW321" s="8">
        <f t="shared" si="35"/>
        <v>512</v>
      </c>
      <c r="AX321" s="8">
        <f t="shared" si="36"/>
        <v>8</v>
      </c>
      <c r="AY321" s="8">
        <f t="shared" si="37"/>
        <v>1</v>
      </c>
      <c r="AZ321" s="8">
        <f t="shared" si="38"/>
        <v>32</v>
      </c>
      <c r="BA321" s="8">
        <f t="shared" si="39"/>
        <v>2048</v>
      </c>
      <c r="BB321" s="8">
        <f t="shared" si="40"/>
        <v>16</v>
      </c>
      <c r="BC321" s="8">
        <f t="shared" si="41"/>
        <v>2809</v>
      </c>
      <c r="BD321" s="8"/>
      <c r="BE321" s="8"/>
      <c r="BF321" s="8"/>
      <c r="BG321" s="8"/>
      <c r="BH321" s="8"/>
    </row>
    <row r="322" spans="2:60">
      <c r="B322" s="11"/>
      <c r="C322" s="12"/>
      <c r="D322" s="8"/>
      <c r="E322" s="13"/>
      <c r="F322" s="14"/>
      <c r="G322" s="13"/>
      <c r="H322" s="1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2">
        <v>1785</v>
      </c>
      <c r="AK322" s="118">
        <v>198</v>
      </c>
      <c r="AL322" s="119" t="s">
        <v>120</v>
      </c>
      <c r="AM322" s="119" t="s">
        <v>119</v>
      </c>
      <c r="AN322" s="119" t="s">
        <v>122</v>
      </c>
      <c r="AO322" s="119" t="s">
        <v>116</v>
      </c>
      <c r="AP322" s="119" t="s">
        <v>113</v>
      </c>
      <c r="AQ322" s="119" t="s">
        <v>118</v>
      </c>
      <c r="AR322" s="119" t="s">
        <v>117</v>
      </c>
      <c r="AS322" s="119" t="s">
        <v>123</v>
      </c>
      <c r="AT322" s="8"/>
      <c r="AU322" s="8">
        <f t="shared" si="33"/>
        <v>128</v>
      </c>
      <c r="AV322" s="8">
        <f t="shared" si="34"/>
        <v>64</v>
      </c>
      <c r="AW322" s="8">
        <f t="shared" si="35"/>
        <v>512</v>
      </c>
      <c r="AX322" s="8">
        <f t="shared" si="36"/>
        <v>8</v>
      </c>
      <c r="AY322" s="8">
        <f t="shared" si="37"/>
        <v>1</v>
      </c>
      <c r="AZ322" s="8">
        <f t="shared" si="38"/>
        <v>32</v>
      </c>
      <c r="BA322" s="8">
        <f t="shared" si="39"/>
        <v>16</v>
      </c>
      <c r="BB322" s="8">
        <f t="shared" si="40"/>
        <v>1024</v>
      </c>
      <c r="BC322" s="8">
        <f t="shared" si="41"/>
        <v>1785</v>
      </c>
      <c r="BD322" s="8"/>
      <c r="BE322" s="8"/>
      <c r="BF322" s="8"/>
      <c r="BG322" s="8"/>
      <c r="BH322" s="8"/>
    </row>
    <row r="323" spans="2:60">
      <c r="B323" s="11"/>
      <c r="C323" s="12"/>
      <c r="D323" s="8"/>
      <c r="E323" s="13"/>
      <c r="F323" s="14"/>
      <c r="G323" s="13"/>
      <c r="H323" s="15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2">
        <v>2553</v>
      </c>
      <c r="AK323" s="118">
        <v>199</v>
      </c>
      <c r="AL323" s="119" t="s">
        <v>120</v>
      </c>
      <c r="AM323" s="119" t="s">
        <v>119</v>
      </c>
      <c r="AN323" s="119" t="s">
        <v>117</v>
      </c>
      <c r="AO323" s="119" t="s">
        <v>116</v>
      </c>
      <c r="AP323" s="119" t="s">
        <v>113</v>
      </c>
      <c r="AQ323" s="119" t="s">
        <v>118</v>
      </c>
      <c r="AR323" s="119" t="s">
        <v>124</v>
      </c>
      <c r="AS323" s="119" t="s">
        <v>121</v>
      </c>
      <c r="AT323" s="8"/>
      <c r="AU323" s="8">
        <f t="shared" si="33"/>
        <v>128</v>
      </c>
      <c r="AV323" s="8">
        <f t="shared" si="34"/>
        <v>64</v>
      </c>
      <c r="AW323" s="8">
        <f t="shared" si="35"/>
        <v>16</v>
      </c>
      <c r="AX323" s="8">
        <f t="shared" si="36"/>
        <v>8</v>
      </c>
      <c r="AY323" s="8">
        <f t="shared" si="37"/>
        <v>1</v>
      </c>
      <c r="AZ323" s="8">
        <f t="shared" si="38"/>
        <v>32</v>
      </c>
      <c r="BA323" s="8">
        <f t="shared" si="39"/>
        <v>2048</v>
      </c>
      <c r="BB323" s="8">
        <f t="shared" si="40"/>
        <v>256</v>
      </c>
      <c r="BC323" s="8">
        <f t="shared" si="41"/>
        <v>2553</v>
      </c>
      <c r="BD323" s="8"/>
      <c r="BE323" s="8"/>
      <c r="BF323" s="8"/>
      <c r="BG323" s="8"/>
      <c r="BH323" s="8"/>
    </row>
    <row r="324" spans="2:60">
      <c r="B324" s="11"/>
      <c r="C324" s="12"/>
      <c r="D324" s="8"/>
      <c r="E324" s="13"/>
      <c r="F324" s="14"/>
      <c r="G324" s="13"/>
      <c r="H324" s="1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2">
        <v>1529</v>
      </c>
      <c r="AK324" s="118">
        <v>200</v>
      </c>
      <c r="AL324" s="119" t="s">
        <v>120</v>
      </c>
      <c r="AM324" s="119" t="s">
        <v>119</v>
      </c>
      <c r="AN324" s="119" t="s">
        <v>117</v>
      </c>
      <c r="AO324" s="119" t="s">
        <v>116</v>
      </c>
      <c r="AP324" s="119" t="s">
        <v>113</v>
      </c>
      <c r="AQ324" s="119" t="s">
        <v>118</v>
      </c>
      <c r="AR324" s="119" t="s">
        <v>121</v>
      </c>
      <c r="AS324" s="119" t="s">
        <v>123</v>
      </c>
      <c r="AT324" s="8"/>
      <c r="AU324" s="8">
        <f t="shared" si="33"/>
        <v>128</v>
      </c>
      <c r="AV324" s="8">
        <f t="shared" si="34"/>
        <v>64</v>
      </c>
      <c r="AW324" s="8">
        <f t="shared" si="35"/>
        <v>16</v>
      </c>
      <c r="AX324" s="8">
        <f t="shared" si="36"/>
        <v>8</v>
      </c>
      <c r="AY324" s="8">
        <f t="shared" si="37"/>
        <v>1</v>
      </c>
      <c r="AZ324" s="8">
        <f t="shared" si="38"/>
        <v>32</v>
      </c>
      <c r="BA324" s="8">
        <f t="shared" si="39"/>
        <v>256</v>
      </c>
      <c r="BB324" s="8">
        <f t="shared" si="40"/>
        <v>1024</v>
      </c>
      <c r="BC324" s="8">
        <f t="shared" si="41"/>
        <v>1529</v>
      </c>
      <c r="BD324" s="8"/>
      <c r="BE324" s="8"/>
      <c r="BF324" s="8"/>
      <c r="BG324" s="8"/>
      <c r="BH324" s="8"/>
    </row>
    <row r="325" spans="2:60">
      <c r="B325" s="11"/>
      <c r="C325" s="12"/>
      <c r="D325" s="8"/>
      <c r="E325" s="13"/>
      <c r="F325" s="14"/>
      <c r="G325" s="13"/>
      <c r="H325" s="1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2">
        <v>1017</v>
      </c>
      <c r="AK325" s="118">
        <v>201</v>
      </c>
      <c r="AL325" s="119" t="s">
        <v>120</v>
      </c>
      <c r="AM325" s="119" t="s">
        <v>119</v>
      </c>
      <c r="AN325" s="119" t="s">
        <v>122</v>
      </c>
      <c r="AO325" s="119" t="s">
        <v>116</v>
      </c>
      <c r="AP325" s="119" t="s">
        <v>113</v>
      </c>
      <c r="AQ325" s="119" t="s">
        <v>118</v>
      </c>
      <c r="AR325" s="119" t="s">
        <v>117</v>
      </c>
      <c r="AS325" s="119" t="s">
        <v>121</v>
      </c>
      <c r="AT325" s="8"/>
      <c r="AU325" s="8">
        <f t="shared" si="33"/>
        <v>128</v>
      </c>
      <c r="AV325" s="8">
        <f t="shared" si="34"/>
        <v>64</v>
      </c>
      <c r="AW325" s="8">
        <f t="shared" si="35"/>
        <v>512</v>
      </c>
      <c r="AX325" s="8">
        <f t="shared" si="36"/>
        <v>8</v>
      </c>
      <c r="AY325" s="8">
        <f t="shared" si="37"/>
        <v>1</v>
      </c>
      <c r="AZ325" s="8">
        <f t="shared" si="38"/>
        <v>32</v>
      </c>
      <c r="BA325" s="8">
        <f t="shared" si="39"/>
        <v>16</v>
      </c>
      <c r="BB325" s="8">
        <f t="shared" si="40"/>
        <v>256</v>
      </c>
      <c r="BC325" s="8">
        <f t="shared" si="41"/>
        <v>1017</v>
      </c>
      <c r="BD325" s="8"/>
      <c r="BE325" s="8"/>
      <c r="BF325" s="8"/>
      <c r="BG325" s="8"/>
      <c r="BH325" s="8"/>
    </row>
    <row r="326" spans="2:60">
      <c r="B326" s="11"/>
      <c r="C326" s="12"/>
      <c r="D326" s="8"/>
      <c r="E326" s="13"/>
      <c r="F326" s="14"/>
      <c r="G326" s="13"/>
      <c r="H326" s="15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2">
        <v>4037</v>
      </c>
      <c r="AK326" s="118">
        <v>202</v>
      </c>
      <c r="AL326" s="119" t="s">
        <v>120</v>
      </c>
      <c r="AM326" s="119" t="s">
        <v>122</v>
      </c>
      <c r="AN326" s="119" t="s">
        <v>121</v>
      </c>
      <c r="AO326" s="119" t="s">
        <v>115</v>
      </c>
      <c r="AP326" s="119" t="s">
        <v>113</v>
      </c>
      <c r="AQ326" s="119" t="s">
        <v>119</v>
      </c>
      <c r="AR326" s="119" t="s">
        <v>124</v>
      </c>
      <c r="AS326" s="119" t="s">
        <v>123</v>
      </c>
      <c r="AT326" s="8"/>
      <c r="AU326" s="8">
        <f t="shared" si="33"/>
        <v>128</v>
      </c>
      <c r="AV326" s="8">
        <f t="shared" si="34"/>
        <v>512</v>
      </c>
      <c r="AW326" s="8">
        <f t="shared" si="35"/>
        <v>256</v>
      </c>
      <c r="AX326" s="8">
        <f t="shared" si="36"/>
        <v>4</v>
      </c>
      <c r="AY326" s="8">
        <f t="shared" si="37"/>
        <v>1</v>
      </c>
      <c r="AZ326" s="8">
        <f t="shared" si="38"/>
        <v>64</v>
      </c>
      <c r="BA326" s="8">
        <f t="shared" si="39"/>
        <v>2048</v>
      </c>
      <c r="BB326" s="8">
        <f t="shared" si="40"/>
        <v>1024</v>
      </c>
      <c r="BC326" s="8">
        <f t="shared" si="41"/>
        <v>4037</v>
      </c>
      <c r="BD326" s="8"/>
      <c r="BE326" s="8"/>
      <c r="BF326" s="8"/>
      <c r="BG326" s="8"/>
      <c r="BH326" s="8"/>
    </row>
    <row r="327" spans="2:60">
      <c r="B327" s="11"/>
      <c r="C327" s="12"/>
      <c r="D327" s="8"/>
      <c r="E327" s="13"/>
      <c r="F327" s="14"/>
      <c r="G327" s="13"/>
      <c r="H327" s="1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2">
        <v>4005</v>
      </c>
      <c r="AK327" s="118">
        <v>203</v>
      </c>
      <c r="AL327" s="119" t="s">
        <v>120</v>
      </c>
      <c r="AM327" s="119" t="s">
        <v>122</v>
      </c>
      <c r="AN327" s="119" t="s">
        <v>121</v>
      </c>
      <c r="AO327" s="119" t="s">
        <v>115</v>
      </c>
      <c r="AP327" s="119" t="s">
        <v>113</v>
      </c>
      <c r="AQ327" s="119" t="s">
        <v>118</v>
      </c>
      <c r="AR327" s="119" t="s">
        <v>124</v>
      </c>
      <c r="AS327" s="119" t="s">
        <v>123</v>
      </c>
      <c r="AT327" s="8"/>
      <c r="AU327" s="8">
        <f t="shared" si="33"/>
        <v>128</v>
      </c>
      <c r="AV327" s="8">
        <f t="shared" si="34"/>
        <v>512</v>
      </c>
      <c r="AW327" s="8">
        <f t="shared" si="35"/>
        <v>256</v>
      </c>
      <c r="AX327" s="8">
        <f t="shared" si="36"/>
        <v>4</v>
      </c>
      <c r="AY327" s="8">
        <f t="shared" si="37"/>
        <v>1</v>
      </c>
      <c r="AZ327" s="8">
        <f t="shared" si="38"/>
        <v>32</v>
      </c>
      <c r="BA327" s="8">
        <f t="shared" si="39"/>
        <v>2048</v>
      </c>
      <c r="BB327" s="8">
        <f t="shared" si="40"/>
        <v>1024</v>
      </c>
      <c r="BC327" s="8">
        <f t="shared" si="41"/>
        <v>4005</v>
      </c>
      <c r="BD327" s="8"/>
      <c r="BE327" s="8"/>
      <c r="BF327" s="8"/>
      <c r="BG327" s="8"/>
      <c r="BH327" s="8"/>
    </row>
    <row r="328" spans="2:60">
      <c r="B328" s="11"/>
      <c r="C328" s="12"/>
      <c r="D328" s="8"/>
      <c r="E328" s="13"/>
      <c r="F328" s="14"/>
      <c r="G328" s="13"/>
      <c r="H328" s="1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2">
        <v>3941</v>
      </c>
      <c r="AK328" s="118">
        <v>204</v>
      </c>
      <c r="AL328" s="119" t="s">
        <v>121</v>
      </c>
      <c r="AM328" s="119" t="s">
        <v>119</v>
      </c>
      <c r="AN328" s="119" t="s">
        <v>122</v>
      </c>
      <c r="AO328" s="119" t="s">
        <v>115</v>
      </c>
      <c r="AP328" s="119" t="s">
        <v>113</v>
      </c>
      <c r="AQ328" s="119" t="s">
        <v>118</v>
      </c>
      <c r="AR328" s="119" t="s">
        <v>124</v>
      </c>
      <c r="AS328" s="119" t="s">
        <v>123</v>
      </c>
      <c r="AT328" s="8"/>
      <c r="AU328" s="8">
        <f t="shared" si="33"/>
        <v>256</v>
      </c>
      <c r="AV328" s="8">
        <f t="shared" si="34"/>
        <v>64</v>
      </c>
      <c r="AW328" s="8">
        <f t="shared" si="35"/>
        <v>512</v>
      </c>
      <c r="AX328" s="8">
        <f t="shared" si="36"/>
        <v>4</v>
      </c>
      <c r="AY328" s="8">
        <f t="shared" si="37"/>
        <v>1</v>
      </c>
      <c r="AZ328" s="8">
        <f t="shared" si="38"/>
        <v>32</v>
      </c>
      <c r="BA328" s="8">
        <f t="shared" si="39"/>
        <v>2048</v>
      </c>
      <c r="BB328" s="8">
        <f t="shared" si="40"/>
        <v>1024</v>
      </c>
      <c r="BC328" s="8">
        <f t="shared" si="41"/>
        <v>3941</v>
      </c>
      <c r="BD328" s="8"/>
      <c r="BE328" s="8"/>
      <c r="BF328" s="8"/>
      <c r="BG328" s="8"/>
      <c r="BH328" s="8"/>
    </row>
    <row r="329" spans="2:60">
      <c r="B329" s="11"/>
      <c r="C329" s="12"/>
      <c r="D329" s="8"/>
      <c r="E329" s="13"/>
      <c r="F329" s="14"/>
      <c r="G329" s="13"/>
      <c r="H329" s="15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2">
        <v>3813</v>
      </c>
      <c r="AK329" s="118">
        <v>205</v>
      </c>
      <c r="AL329" s="119" t="s">
        <v>120</v>
      </c>
      <c r="AM329" s="119" t="s">
        <v>119</v>
      </c>
      <c r="AN329" s="119" t="s">
        <v>122</v>
      </c>
      <c r="AO329" s="119" t="s">
        <v>115</v>
      </c>
      <c r="AP329" s="119" t="s">
        <v>113</v>
      </c>
      <c r="AQ329" s="119" t="s">
        <v>118</v>
      </c>
      <c r="AR329" s="119" t="s">
        <v>124</v>
      </c>
      <c r="AS329" s="119" t="s">
        <v>123</v>
      </c>
      <c r="AT329" s="8"/>
      <c r="AU329" s="8">
        <f t="shared" si="33"/>
        <v>128</v>
      </c>
      <c r="AV329" s="8">
        <f t="shared" si="34"/>
        <v>64</v>
      </c>
      <c r="AW329" s="8">
        <f t="shared" si="35"/>
        <v>512</v>
      </c>
      <c r="AX329" s="8">
        <f t="shared" si="36"/>
        <v>4</v>
      </c>
      <c r="AY329" s="8">
        <f t="shared" si="37"/>
        <v>1</v>
      </c>
      <c r="AZ329" s="8">
        <f t="shared" si="38"/>
        <v>32</v>
      </c>
      <c r="BA329" s="8">
        <f t="shared" si="39"/>
        <v>2048</v>
      </c>
      <c r="BB329" s="8">
        <f t="shared" si="40"/>
        <v>1024</v>
      </c>
      <c r="BC329" s="8">
        <f t="shared" si="41"/>
        <v>3813</v>
      </c>
      <c r="BD329" s="8"/>
      <c r="BE329" s="8"/>
      <c r="BF329" s="8"/>
      <c r="BG329" s="8"/>
      <c r="BH329" s="8"/>
    </row>
    <row r="330" spans="2:60">
      <c r="B330" s="11"/>
      <c r="C330" s="12"/>
      <c r="D330" s="8"/>
      <c r="E330" s="13"/>
      <c r="F330" s="14"/>
      <c r="G330" s="13"/>
      <c r="H330" s="1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2">
        <v>3557</v>
      </c>
      <c r="AK330" s="118">
        <v>206</v>
      </c>
      <c r="AL330" s="119" t="s">
        <v>120</v>
      </c>
      <c r="AM330" s="119" t="s">
        <v>119</v>
      </c>
      <c r="AN330" s="119" t="s">
        <v>121</v>
      </c>
      <c r="AO330" s="119" t="s">
        <v>115</v>
      </c>
      <c r="AP330" s="119" t="s">
        <v>113</v>
      </c>
      <c r="AQ330" s="119" t="s">
        <v>118</v>
      </c>
      <c r="AR330" s="119" t="s">
        <v>124</v>
      </c>
      <c r="AS330" s="119" t="s">
        <v>123</v>
      </c>
      <c r="AT330" s="8"/>
      <c r="AU330" s="8">
        <f t="shared" si="33"/>
        <v>128</v>
      </c>
      <c r="AV330" s="8">
        <f t="shared" si="34"/>
        <v>64</v>
      </c>
      <c r="AW330" s="8">
        <f t="shared" si="35"/>
        <v>256</v>
      </c>
      <c r="AX330" s="8">
        <f t="shared" si="36"/>
        <v>4</v>
      </c>
      <c r="AY330" s="8">
        <f t="shared" si="37"/>
        <v>1</v>
      </c>
      <c r="AZ330" s="8">
        <f t="shared" si="38"/>
        <v>32</v>
      </c>
      <c r="BA330" s="8">
        <f t="shared" si="39"/>
        <v>2048</v>
      </c>
      <c r="BB330" s="8">
        <f t="shared" si="40"/>
        <v>1024</v>
      </c>
      <c r="BC330" s="8">
        <f t="shared" si="41"/>
        <v>3557</v>
      </c>
      <c r="BD330" s="8"/>
      <c r="BE330" s="8"/>
      <c r="BF330" s="8"/>
      <c r="BG330" s="8"/>
      <c r="BH330" s="8"/>
    </row>
    <row r="331" spans="2:60">
      <c r="B331" s="11"/>
      <c r="C331" s="12"/>
      <c r="D331" s="8"/>
      <c r="E331" s="13"/>
      <c r="F331" s="14"/>
      <c r="G331" s="13"/>
      <c r="H331" s="1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2">
        <v>3045</v>
      </c>
      <c r="AK331" s="118">
        <v>207</v>
      </c>
      <c r="AL331" s="119" t="s">
        <v>120</v>
      </c>
      <c r="AM331" s="119" t="s">
        <v>119</v>
      </c>
      <c r="AN331" s="119" t="s">
        <v>122</v>
      </c>
      <c r="AO331" s="119" t="s">
        <v>115</v>
      </c>
      <c r="AP331" s="119" t="s">
        <v>113</v>
      </c>
      <c r="AQ331" s="119" t="s">
        <v>118</v>
      </c>
      <c r="AR331" s="119" t="s">
        <v>124</v>
      </c>
      <c r="AS331" s="119" t="s">
        <v>121</v>
      </c>
      <c r="AT331" s="8"/>
      <c r="AU331" s="8">
        <f t="shared" si="33"/>
        <v>128</v>
      </c>
      <c r="AV331" s="8">
        <f t="shared" si="34"/>
        <v>64</v>
      </c>
      <c r="AW331" s="8">
        <f t="shared" si="35"/>
        <v>512</v>
      </c>
      <c r="AX331" s="8">
        <f t="shared" si="36"/>
        <v>4</v>
      </c>
      <c r="AY331" s="8">
        <f t="shared" si="37"/>
        <v>1</v>
      </c>
      <c r="AZ331" s="8">
        <f t="shared" si="38"/>
        <v>32</v>
      </c>
      <c r="BA331" s="8">
        <f t="shared" si="39"/>
        <v>2048</v>
      </c>
      <c r="BB331" s="8">
        <f t="shared" si="40"/>
        <v>256</v>
      </c>
      <c r="BC331" s="8">
        <f t="shared" si="41"/>
        <v>3045</v>
      </c>
      <c r="BD331" s="8"/>
      <c r="BE331" s="8"/>
      <c r="BF331" s="8"/>
      <c r="BG331" s="8"/>
      <c r="BH331" s="8"/>
    </row>
    <row r="332" spans="2:60">
      <c r="B332" s="11"/>
      <c r="C332" s="12"/>
      <c r="D332" s="8"/>
      <c r="E332" s="13"/>
      <c r="F332" s="14"/>
      <c r="G332" s="13"/>
      <c r="H332" s="15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2">
        <v>2021</v>
      </c>
      <c r="AK332" s="118">
        <v>208</v>
      </c>
      <c r="AL332" s="119" t="s">
        <v>120</v>
      </c>
      <c r="AM332" s="119" t="s">
        <v>119</v>
      </c>
      <c r="AN332" s="119" t="s">
        <v>122</v>
      </c>
      <c r="AO332" s="119" t="s">
        <v>115</v>
      </c>
      <c r="AP332" s="119" t="s">
        <v>113</v>
      </c>
      <c r="AQ332" s="119" t="s">
        <v>118</v>
      </c>
      <c r="AR332" s="119" t="s">
        <v>121</v>
      </c>
      <c r="AS332" s="119" t="s">
        <v>123</v>
      </c>
      <c r="AT332" s="8"/>
      <c r="AU332" s="8">
        <f t="shared" si="33"/>
        <v>128</v>
      </c>
      <c r="AV332" s="8">
        <f t="shared" si="34"/>
        <v>64</v>
      </c>
      <c r="AW332" s="8">
        <f t="shared" si="35"/>
        <v>512</v>
      </c>
      <c r="AX332" s="8">
        <f t="shared" si="36"/>
        <v>4</v>
      </c>
      <c r="AY332" s="8">
        <f t="shared" si="37"/>
        <v>1</v>
      </c>
      <c r="AZ332" s="8">
        <f t="shared" si="38"/>
        <v>32</v>
      </c>
      <c r="BA332" s="8">
        <f t="shared" si="39"/>
        <v>256</v>
      </c>
      <c r="BB332" s="8">
        <f t="shared" si="40"/>
        <v>1024</v>
      </c>
      <c r="BC332" s="8">
        <f t="shared" si="41"/>
        <v>2021</v>
      </c>
      <c r="BD332" s="8"/>
      <c r="BE332" s="8"/>
      <c r="BF332" s="8"/>
      <c r="BG332" s="8"/>
      <c r="BH332" s="8"/>
    </row>
    <row r="333" spans="2:60">
      <c r="B333" s="11"/>
      <c r="C333" s="12"/>
      <c r="D333" s="8"/>
      <c r="E333" s="13"/>
      <c r="F333" s="14"/>
      <c r="G333" s="13"/>
      <c r="H333" s="1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2">
        <v>3989</v>
      </c>
      <c r="AK333" s="118">
        <v>209</v>
      </c>
      <c r="AL333" s="119" t="s">
        <v>117</v>
      </c>
      <c r="AM333" s="119" t="s">
        <v>122</v>
      </c>
      <c r="AN333" s="119" t="s">
        <v>121</v>
      </c>
      <c r="AO333" s="119" t="s">
        <v>115</v>
      </c>
      <c r="AP333" s="119" t="s">
        <v>113</v>
      </c>
      <c r="AQ333" s="119" t="s">
        <v>120</v>
      </c>
      <c r="AR333" s="119" t="s">
        <v>124</v>
      </c>
      <c r="AS333" s="119" t="s">
        <v>123</v>
      </c>
      <c r="AT333" s="8"/>
      <c r="AU333" s="8">
        <f t="shared" si="33"/>
        <v>16</v>
      </c>
      <c r="AV333" s="8">
        <f t="shared" si="34"/>
        <v>512</v>
      </c>
      <c r="AW333" s="8">
        <f t="shared" si="35"/>
        <v>256</v>
      </c>
      <c r="AX333" s="8">
        <f t="shared" si="36"/>
        <v>4</v>
      </c>
      <c r="AY333" s="8">
        <f t="shared" si="37"/>
        <v>1</v>
      </c>
      <c r="AZ333" s="8">
        <f t="shared" si="38"/>
        <v>128</v>
      </c>
      <c r="BA333" s="8">
        <f t="shared" si="39"/>
        <v>2048</v>
      </c>
      <c r="BB333" s="8">
        <f t="shared" si="40"/>
        <v>1024</v>
      </c>
      <c r="BC333" s="8">
        <f t="shared" si="41"/>
        <v>3989</v>
      </c>
      <c r="BD333" s="8"/>
      <c r="BE333" s="8"/>
      <c r="BF333" s="8"/>
      <c r="BG333" s="8"/>
      <c r="BH333" s="8"/>
    </row>
    <row r="334" spans="2:60">
      <c r="B334" s="11"/>
      <c r="C334" s="12"/>
      <c r="D334" s="8"/>
      <c r="E334" s="13"/>
      <c r="F334" s="14"/>
      <c r="G334" s="13"/>
      <c r="H334" s="1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2">
        <v>3925</v>
      </c>
      <c r="AK334" s="118">
        <v>210</v>
      </c>
      <c r="AL334" s="119" t="s">
        <v>117</v>
      </c>
      <c r="AM334" s="119" t="s">
        <v>122</v>
      </c>
      <c r="AN334" s="119" t="s">
        <v>121</v>
      </c>
      <c r="AO334" s="119" t="s">
        <v>115</v>
      </c>
      <c r="AP334" s="119" t="s">
        <v>113</v>
      </c>
      <c r="AQ334" s="119" t="s">
        <v>119</v>
      </c>
      <c r="AR334" s="119" t="s">
        <v>124</v>
      </c>
      <c r="AS334" s="119" t="s">
        <v>123</v>
      </c>
      <c r="AT334" s="8"/>
      <c r="AU334" s="8">
        <f t="shared" si="33"/>
        <v>16</v>
      </c>
      <c r="AV334" s="8">
        <f t="shared" si="34"/>
        <v>512</v>
      </c>
      <c r="AW334" s="8">
        <f t="shared" si="35"/>
        <v>256</v>
      </c>
      <c r="AX334" s="8">
        <f t="shared" si="36"/>
        <v>4</v>
      </c>
      <c r="AY334" s="8">
        <f t="shared" si="37"/>
        <v>1</v>
      </c>
      <c r="AZ334" s="8">
        <f t="shared" si="38"/>
        <v>64</v>
      </c>
      <c r="BA334" s="8">
        <f t="shared" si="39"/>
        <v>2048</v>
      </c>
      <c r="BB334" s="8">
        <f t="shared" si="40"/>
        <v>1024</v>
      </c>
      <c r="BC334" s="8">
        <f t="shared" si="41"/>
        <v>3925</v>
      </c>
      <c r="BD334" s="8"/>
      <c r="BE334" s="8"/>
      <c r="BF334" s="8"/>
      <c r="BG334" s="8"/>
      <c r="BH334" s="8"/>
    </row>
    <row r="335" spans="2:60">
      <c r="B335" s="11"/>
      <c r="C335" s="12"/>
      <c r="D335" s="8"/>
      <c r="E335" s="13"/>
      <c r="F335" s="14"/>
      <c r="G335" s="13"/>
      <c r="H335" s="15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2">
        <v>3797</v>
      </c>
      <c r="AK335" s="118">
        <v>211</v>
      </c>
      <c r="AL335" s="119" t="s">
        <v>117</v>
      </c>
      <c r="AM335" s="119" t="s">
        <v>119</v>
      </c>
      <c r="AN335" s="119" t="s">
        <v>122</v>
      </c>
      <c r="AO335" s="119" t="s">
        <v>115</v>
      </c>
      <c r="AP335" s="119" t="s">
        <v>113</v>
      </c>
      <c r="AQ335" s="119" t="s">
        <v>120</v>
      </c>
      <c r="AR335" s="119" t="s">
        <v>124</v>
      </c>
      <c r="AS335" s="119" t="s">
        <v>123</v>
      </c>
      <c r="AT335" s="8"/>
      <c r="AU335" s="8">
        <f t="shared" si="33"/>
        <v>16</v>
      </c>
      <c r="AV335" s="8">
        <f t="shared" si="34"/>
        <v>64</v>
      </c>
      <c r="AW335" s="8">
        <f t="shared" si="35"/>
        <v>512</v>
      </c>
      <c r="AX335" s="8">
        <f t="shared" si="36"/>
        <v>4</v>
      </c>
      <c r="AY335" s="8">
        <f t="shared" si="37"/>
        <v>1</v>
      </c>
      <c r="AZ335" s="8">
        <f t="shared" si="38"/>
        <v>128</v>
      </c>
      <c r="BA335" s="8">
        <f t="shared" si="39"/>
        <v>2048</v>
      </c>
      <c r="BB335" s="8">
        <f t="shared" si="40"/>
        <v>1024</v>
      </c>
      <c r="BC335" s="8">
        <f t="shared" si="41"/>
        <v>3797</v>
      </c>
      <c r="BD335" s="8"/>
      <c r="BE335" s="8"/>
      <c r="BF335" s="8"/>
      <c r="BG335" s="8"/>
      <c r="BH335" s="8"/>
    </row>
    <row r="336" spans="2:60">
      <c r="B336" s="11"/>
      <c r="C336" s="12"/>
      <c r="D336" s="8"/>
      <c r="E336" s="13"/>
      <c r="F336" s="14"/>
      <c r="G336" s="13"/>
      <c r="H336" s="1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2">
        <v>3541</v>
      </c>
      <c r="AK336" s="118">
        <v>212</v>
      </c>
      <c r="AL336" s="119" t="s">
        <v>117</v>
      </c>
      <c r="AM336" s="119" t="s">
        <v>119</v>
      </c>
      <c r="AN336" s="119" t="s">
        <v>121</v>
      </c>
      <c r="AO336" s="119" t="s">
        <v>115</v>
      </c>
      <c r="AP336" s="119" t="s">
        <v>113</v>
      </c>
      <c r="AQ336" s="119" t="s">
        <v>120</v>
      </c>
      <c r="AR336" s="119" t="s">
        <v>124</v>
      </c>
      <c r="AS336" s="119" t="s">
        <v>123</v>
      </c>
      <c r="AT336" s="8"/>
      <c r="AU336" s="8">
        <f t="shared" si="33"/>
        <v>16</v>
      </c>
      <c r="AV336" s="8">
        <f t="shared" si="34"/>
        <v>64</v>
      </c>
      <c r="AW336" s="8">
        <f t="shared" si="35"/>
        <v>256</v>
      </c>
      <c r="AX336" s="8">
        <f t="shared" si="36"/>
        <v>4</v>
      </c>
      <c r="AY336" s="8">
        <f t="shared" si="37"/>
        <v>1</v>
      </c>
      <c r="AZ336" s="8">
        <f t="shared" si="38"/>
        <v>128</v>
      </c>
      <c r="BA336" s="8">
        <f t="shared" si="39"/>
        <v>2048</v>
      </c>
      <c r="BB336" s="8">
        <f t="shared" si="40"/>
        <v>1024</v>
      </c>
      <c r="BC336" s="8">
        <f t="shared" si="41"/>
        <v>3541</v>
      </c>
      <c r="BD336" s="8"/>
      <c r="BE336" s="8"/>
      <c r="BF336" s="8"/>
      <c r="BG336" s="8"/>
      <c r="BH336" s="8"/>
    </row>
    <row r="337" spans="2:60">
      <c r="B337" s="11"/>
      <c r="C337" s="12"/>
      <c r="D337" s="8"/>
      <c r="E337" s="13"/>
      <c r="F337" s="14"/>
      <c r="G337" s="13"/>
      <c r="H337" s="1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2">
        <v>3029</v>
      </c>
      <c r="AK337" s="118">
        <v>213</v>
      </c>
      <c r="AL337" s="119" t="s">
        <v>117</v>
      </c>
      <c r="AM337" s="119" t="s">
        <v>119</v>
      </c>
      <c r="AN337" s="119" t="s">
        <v>122</v>
      </c>
      <c r="AO337" s="119" t="s">
        <v>115</v>
      </c>
      <c r="AP337" s="119" t="s">
        <v>113</v>
      </c>
      <c r="AQ337" s="119" t="s">
        <v>120</v>
      </c>
      <c r="AR337" s="119" t="s">
        <v>124</v>
      </c>
      <c r="AS337" s="119" t="s">
        <v>121</v>
      </c>
      <c r="AT337" s="8"/>
      <c r="AU337" s="8">
        <f t="shared" si="33"/>
        <v>16</v>
      </c>
      <c r="AV337" s="8">
        <f t="shared" si="34"/>
        <v>64</v>
      </c>
      <c r="AW337" s="8">
        <f t="shared" si="35"/>
        <v>512</v>
      </c>
      <c r="AX337" s="8">
        <f t="shared" si="36"/>
        <v>4</v>
      </c>
      <c r="AY337" s="8">
        <f t="shared" si="37"/>
        <v>1</v>
      </c>
      <c r="AZ337" s="8">
        <f t="shared" si="38"/>
        <v>128</v>
      </c>
      <c r="BA337" s="8">
        <f t="shared" si="39"/>
        <v>2048</v>
      </c>
      <c r="BB337" s="8">
        <f t="shared" si="40"/>
        <v>256</v>
      </c>
      <c r="BC337" s="8">
        <f t="shared" si="41"/>
        <v>3029</v>
      </c>
      <c r="BD337" s="8"/>
      <c r="BE337" s="8"/>
      <c r="BF337" s="8"/>
      <c r="BG337" s="8"/>
      <c r="BH337" s="8"/>
    </row>
    <row r="338" spans="2:60">
      <c r="B338" s="11"/>
      <c r="C338" s="12"/>
      <c r="D338" s="8"/>
      <c r="E338" s="13"/>
      <c r="F338" s="14"/>
      <c r="G338" s="13"/>
      <c r="H338" s="15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2">
        <v>2005</v>
      </c>
      <c r="AK338" s="118">
        <v>214</v>
      </c>
      <c r="AL338" s="119" t="s">
        <v>117</v>
      </c>
      <c r="AM338" s="119" t="s">
        <v>119</v>
      </c>
      <c r="AN338" s="119" t="s">
        <v>122</v>
      </c>
      <c r="AO338" s="119" t="s">
        <v>115</v>
      </c>
      <c r="AP338" s="119" t="s">
        <v>113</v>
      </c>
      <c r="AQ338" s="119" t="s">
        <v>120</v>
      </c>
      <c r="AR338" s="119" t="s">
        <v>121</v>
      </c>
      <c r="AS338" s="119" t="s">
        <v>123</v>
      </c>
      <c r="AT338" s="8"/>
      <c r="AU338" s="8">
        <f t="shared" si="33"/>
        <v>16</v>
      </c>
      <c r="AV338" s="8">
        <f t="shared" si="34"/>
        <v>64</v>
      </c>
      <c r="AW338" s="8">
        <f t="shared" si="35"/>
        <v>512</v>
      </c>
      <c r="AX338" s="8">
        <f t="shared" si="36"/>
        <v>4</v>
      </c>
      <c r="AY338" s="8">
        <f t="shared" si="37"/>
        <v>1</v>
      </c>
      <c r="AZ338" s="8">
        <f t="shared" si="38"/>
        <v>128</v>
      </c>
      <c r="BA338" s="8">
        <f t="shared" si="39"/>
        <v>256</v>
      </c>
      <c r="BB338" s="8">
        <f t="shared" si="40"/>
        <v>1024</v>
      </c>
      <c r="BC338" s="8">
        <f t="shared" si="41"/>
        <v>2005</v>
      </c>
      <c r="BD338" s="8"/>
      <c r="BE338" s="8"/>
      <c r="BF338" s="8"/>
      <c r="BG338" s="8"/>
      <c r="BH338" s="8"/>
    </row>
    <row r="339" spans="2:60">
      <c r="B339" s="11"/>
      <c r="C339" s="12"/>
      <c r="D339" s="8"/>
      <c r="E339" s="13"/>
      <c r="F339" s="14"/>
      <c r="G339" s="13"/>
      <c r="H339" s="1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2">
        <v>3893</v>
      </c>
      <c r="AK339" s="118">
        <v>215</v>
      </c>
      <c r="AL339" s="119" t="s">
        <v>117</v>
      </c>
      <c r="AM339" s="119" t="s">
        <v>122</v>
      </c>
      <c r="AN339" s="119" t="s">
        <v>121</v>
      </c>
      <c r="AO339" s="119" t="s">
        <v>115</v>
      </c>
      <c r="AP339" s="119" t="s">
        <v>113</v>
      </c>
      <c r="AQ339" s="119" t="s">
        <v>118</v>
      </c>
      <c r="AR339" s="119" t="s">
        <v>124</v>
      </c>
      <c r="AS339" s="119" t="s">
        <v>123</v>
      </c>
      <c r="AT339" s="8"/>
      <c r="AU339" s="8">
        <f t="shared" si="33"/>
        <v>16</v>
      </c>
      <c r="AV339" s="8">
        <f t="shared" si="34"/>
        <v>512</v>
      </c>
      <c r="AW339" s="8">
        <f t="shared" si="35"/>
        <v>256</v>
      </c>
      <c r="AX339" s="8">
        <f t="shared" si="36"/>
        <v>4</v>
      </c>
      <c r="AY339" s="8">
        <f t="shared" si="37"/>
        <v>1</v>
      </c>
      <c r="AZ339" s="8">
        <f t="shared" si="38"/>
        <v>32</v>
      </c>
      <c r="BA339" s="8">
        <f t="shared" si="39"/>
        <v>2048</v>
      </c>
      <c r="BB339" s="8">
        <f t="shared" si="40"/>
        <v>1024</v>
      </c>
      <c r="BC339" s="8">
        <f t="shared" si="41"/>
        <v>3893</v>
      </c>
      <c r="BD339" s="8"/>
      <c r="BE339" s="8"/>
      <c r="BF339" s="8"/>
      <c r="BG339" s="8"/>
      <c r="BH339" s="8"/>
    </row>
    <row r="340" spans="2:60">
      <c r="B340" s="11"/>
      <c r="C340" s="12"/>
      <c r="D340" s="8"/>
      <c r="E340" s="13"/>
      <c r="F340" s="14"/>
      <c r="G340" s="13"/>
      <c r="H340" s="1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2">
        <v>3765</v>
      </c>
      <c r="AK340" s="118">
        <v>216</v>
      </c>
      <c r="AL340" s="119" t="s">
        <v>120</v>
      </c>
      <c r="AM340" s="119" t="s">
        <v>122</v>
      </c>
      <c r="AN340" s="119" t="s">
        <v>117</v>
      </c>
      <c r="AO340" s="119" t="s">
        <v>115</v>
      </c>
      <c r="AP340" s="119" t="s">
        <v>113</v>
      </c>
      <c r="AQ340" s="119" t="s">
        <v>118</v>
      </c>
      <c r="AR340" s="119" t="s">
        <v>124</v>
      </c>
      <c r="AS340" s="119" t="s">
        <v>123</v>
      </c>
      <c r="AT340" s="8"/>
      <c r="AU340" s="8">
        <f t="shared" si="33"/>
        <v>128</v>
      </c>
      <c r="AV340" s="8">
        <f t="shared" si="34"/>
        <v>512</v>
      </c>
      <c r="AW340" s="8">
        <f t="shared" si="35"/>
        <v>16</v>
      </c>
      <c r="AX340" s="8">
        <f t="shared" si="36"/>
        <v>4</v>
      </c>
      <c r="AY340" s="8">
        <f t="shared" si="37"/>
        <v>1</v>
      </c>
      <c r="AZ340" s="8">
        <f t="shared" si="38"/>
        <v>32</v>
      </c>
      <c r="BA340" s="8">
        <f t="shared" si="39"/>
        <v>2048</v>
      </c>
      <c r="BB340" s="8">
        <f t="shared" si="40"/>
        <v>1024</v>
      </c>
      <c r="BC340" s="8">
        <f t="shared" si="41"/>
        <v>3765</v>
      </c>
      <c r="BD340" s="8"/>
      <c r="BE340" s="8"/>
      <c r="BF340" s="8"/>
      <c r="BG340" s="8"/>
      <c r="BH340" s="8"/>
    </row>
    <row r="341" spans="2:60">
      <c r="B341" s="11"/>
      <c r="C341" s="12"/>
      <c r="D341" s="8"/>
      <c r="E341" s="13"/>
      <c r="F341" s="14"/>
      <c r="G341" s="13"/>
      <c r="H341" s="15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2">
        <v>3509</v>
      </c>
      <c r="AK341" s="118">
        <v>217</v>
      </c>
      <c r="AL341" s="119" t="s">
        <v>120</v>
      </c>
      <c r="AM341" s="119" t="s">
        <v>117</v>
      </c>
      <c r="AN341" s="119" t="s">
        <v>121</v>
      </c>
      <c r="AO341" s="119" t="s">
        <v>115</v>
      </c>
      <c r="AP341" s="119" t="s">
        <v>113</v>
      </c>
      <c r="AQ341" s="119" t="s">
        <v>118</v>
      </c>
      <c r="AR341" s="119" t="s">
        <v>124</v>
      </c>
      <c r="AS341" s="119" t="s">
        <v>123</v>
      </c>
      <c r="AT341" s="8"/>
      <c r="AU341" s="8">
        <f t="shared" si="33"/>
        <v>128</v>
      </c>
      <c r="AV341" s="8">
        <f t="shared" si="34"/>
        <v>16</v>
      </c>
      <c r="AW341" s="8">
        <f t="shared" si="35"/>
        <v>256</v>
      </c>
      <c r="AX341" s="8">
        <f t="shared" si="36"/>
        <v>4</v>
      </c>
      <c r="AY341" s="8">
        <f t="shared" si="37"/>
        <v>1</v>
      </c>
      <c r="AZ341" s="8">
        <f t="shared" si="38"/>
        <v>32</v>
      </c>
      <c r="BA341" s="8">
        <f t="shared" si="39"/>
        <v>2048</v>
      </c>
      <c r="BB341" s="8">
        <f t="shared" si="40"/>
        <v>1024</v>
      </c>
      <c r="BC341" s="8">
        <f t="shared" si="41"/>
        <v>3509</v>
      </c>
      <c r="BD341" s="8"/>
      <c r="BE341" s="8"/>
      <c r="BF341" s="8"/>
      <c r="BG341" s="8"/>
      <c r="BH341" s="8"/>
    </row>
    <row r="342" spans="2:60">
      <c r="B342" s="11"/>
      <c r="C342" s="12"/>
      <c r="D342" s="8"/>
      <c r="E342" s="13"/>
      <c r="F342" s="14"/>
      <c r="G342" s="13"/>
      <c r="H342" s="1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2">
        <v>2997</v>
      </c>
      <c r="AK342" s="118">
        <v>218</v>
      </c>
      <c r="AL342" s="119" t="s">
        <v>120</v>
      </c>
      <c r="AM342" s="119" t="s">
        <v>122</v>
      </c>
      <c r="AN342" s="119" t="s">
        <v>117</v>
      </c>
      <c r="AO342" s="119" t="s">
        <v>115</v>
      </c>
      <c r="AP342" s="119" t="s">
        <v>113</v>
      </c>
      <c r="AQ342" s="119" t="s">
        <v>118</v>
      </c>
      <c r="AR342" s="119" t="s">
        <v>124</v>
      </c>
      <c r="AS342" s="119" t="s">
        <v>121</v>
      </c>
      <c r="AT342" s="8"/>
      <c r="AU342" s="8">
        <f t="shared" si="33"/>
        <v>128</v>
      </c>
      <c r="AV342" s="8">
        <f t="shared" si="34"/>
        <v>512</v>
      </c>
      <c r="AW342" s="8">
        <f t="shared" si="35"/>
        <v>16</v>
      </c>
      <c r="AX342" s="8">
        <f t="shared" si="36"/>
        <v>4</v>
      </c>
      <c r="AY342" s="8">
        <f t="shared" si="37"/>
        <v>1</v>
      </c>
      <c r="AZ342" s="8">
        <f t="shared" si="38"/>
        <v>32</v>
      </c>
      <c r="BA342" s="8">
        <f t="shared" si="39"/>
        <v>2048</v>
      </c>
      <c r="BB342" s="8">
        <f t="shared" si="40"/>
        <v>256</v>
      </c>
      <c r="BC342" s="8">
        <f t="shared" si="41"/>
        <v>2997</v>
      </c>
      <c r="BD342" s="8"/>
      <c r="BE342" s="8"/>
      <c r="BF342" s="8"/>
      <c r="BG342" s="8"/>
      <c r="BH342" s="8"/>
    </row>
    <row r="343" spans="2:60">
      <c r="B343" s="11"/>
      <c r="C343" s="12"/>
      <c r="D343" s="8"/>
      <c r="E343" s="13"/>
      <c r="F343" s="14"/>
      <c r="G343" s="13"/>
      <c r="H343" s="1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2">
        <v>1973</v>
      </c>
      <c r="AK343" s="118">
        <v>219</v>
      </c>
      <c r="AL343" s="119" t="s">
        <v>120</v>
      </c>
      <c r="AM343" s="119" t="s">
        <v>122</v>
      </c>
      <c r="AN343" s="119" t="s">
        <v>117</v>
      </c>
      <c r="AO343" s="119" t="s">
        <v>115</v>
      </c>
      <c r="AP343" s="119" t="s">
        <v>113</v>
      </c>
      <c r="AQ343" s="119" t="s">
        <v>118</v>
      </c>
      <c r="AR343" s="119" t="s">
        <v>121</v>
      </c>
      <c r="AS343" s="119" t="s">
        <v>123</v>
      </c>
      <c r="AT343" s="8"/>
      <c r="AU343" s="8">
        <f t="shared" si="33"/>
        <v>128</v>
      </c>
      <c r="AV343" s="8">
        <f t="shared" si="34"/>
        <v>512</v>
      </c>
      <c r="AW343" s="8">
        <f t="shared" si="35"/>
        <v>16</v>
      </c>
      <c r="AX343" s="8">
        <f t="shared" si="36"/>
        <v>4</v>
      </c>
      <c r="AY343" s="8">
        <f t="shared" si="37"/>
        <v>1</v>
      </c>
      <c r="AZ343" s="8">
        <f t="shared" si="38"/>
        <v>32</v>
      </c>
      <c r="BA343" s="8">
        <f t="shared" si="39"/>
        <v>256</v>
      </c>
      <c r="BB343" s="8">
        <f t="shared" si="40"/>
        <v>1024</v>
      </c>
      <c r="BC343" s="8">
        <f t="shared" si="41"/>
        <v>1973</v>
      </c>
      <c r="BD343" s="8"/>
      <c r="BE343" s="8"/>
      <c r="BF343" s="8"/>
      <c r="BG343" s="8"/>
      <c r="BH343" s="8"/>
    </row>
    <row r="344" spans="2:60">
      <c r="B344" s="11"/>
      <c r="C344" s="12"/>
      <c r="D344" s="8"/>
      <c r="E344" s="13"/>
      <c r="F344" s="14"/>
      <c r="G344" s="13"/>
      <c r="H344" s="15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2">
        <v>3701</v>
      </c>
      <c r="AK344" s="118">
        <v>220</v>
      </c>
      <c r="AL344" s="119" t="s">
        <v>117</v>
      </c>
      <c r="AM344" s="119" t="s">
        <v>119</v>
      </c>
      <c r="AN344" s="119" t="s">
        <v>122</v>
      </c>
      <c r="AO344" s="119" t="s">
        <v>115</v>
      </c>
      <c r="AP344" s="119" t="s">
        <v>113</v>
      </c>
      <c r="AQ344" s="119" t="s">
        <v>118</v>
      </c>
      <c r="AR344" s="119" t="s">
        <v>124</v>
      </c>
      <c r="AS344" s="119" t="s">
        <v>123</v>
      </c>
      <c r="AT344" s="8"/>
      <c r="AU344" s="8">
        <f t="shared" si="33"/>
        <v>16</v>
      </c>
      <c r="AV344" s="8">
        <f t="shared" si="34"/>
        <v>64</v>
      </c>
      <c r="AW344" s="8">
        <f t="shared" si="35"/>
        <v>512</v>
      </c>
      <c r="AX344" s="8">
        <f t="shared" si="36"/>
        <v>4</v>
      </c>
      <c r="AY344" s="8">
        <f t="shared" si="37"/>
        <v>1</v>
      </c>
      <c r="AZ344" s="8">
        <f t="shared" si="38"/>
        <v>32</v>
      </c>
      <c r="BA344" s="8">
        <f t="shared" si="39"/>
        <v>2048</v>
      </c>
      <c r="BB344" s="8">
        <f t="shared" si="40"/>
        <v>1024</v>
      </c>
      <c r="BC344" s="8">
        <f t="shared" si="41"/>
        <v>3701</v>
      </c>
      <c r="BD344" s="8"/>
      <c r="BE344" s="8"/>
      <c r="BF344" s="8"/>
      <c r="BG344" s="8"/>
      <c r="BH344" s="8"/>
    </row>
    <row r="345" spans="2:60">
      <c r="B345" s="11"/>
      <c r="C345" s="12"/>
      <c r="D345" s="8"/>
      <c r="E345" s="13"/>
      <c r="F345" s="14"/>
      <c r="G345" s="13"/>
      <c r="H345" s="1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2">
        <v>3445</v>
      </c>
      <c r="AK345" s="118">
        <v>221</v>
      </c>
      <c r="AL345" s="119" t="s">
        <v>117</v>
      </c>
      <c r="AM345" s="119" t="s">
        <v>119</v>
      </c>
      <c r="AN345" s="119" t="s">
        <v>121</v>
      </c>
      <c r="AO345" s="119" t="s">
        <v>115</v>
      </c>
      <c r="AP345" s="119" t="s">
        <v>113</v>
      </c>
      <c r="AQ345" s="119" t="s">
        <v>118</v>
      </c>
      <c r="AR345" s="119" t="s">
        <v>124</v>
      </c>
      <c r="AS345" s="119" t="s">
        <v>123</v>
      </c>
      <c r="AT345" s="8"/>
      <c r="AU345" s="8">
        <f t="shared" si="33"/>
        <v>16</v>
      </c>
      <c r="AV345" s="8">
        <f t="shared" si="34"/>
        <v>64</v>
      </c>
      <c r="AW345" s="8">
        <f t="shared" si="35"/>
        <v>256</v>
      </c>
      <c r="AX345" s="8">
        <f t="shared" si="36"/>
        <v>4</v>
      </c>
      <c r="AY345" s="8">
        <f t="shared" si="37"/>
        <v>1</v>
      </c>
      <c r="AZ345" s="8">
        <f t="shared" si="38"/>
        <v>32</v>
      </c>
      <c r="BA345" s="8">
        <f t="shared" si="39"/>
        <v>2048</v>
      </c>
      <c r="BB345" s="8">
        <f t="shared" si="40"/>
        <v>1024</v>
      </c>
      <c r="BC345" s="8">
        <f t="shared" si="41"/>
        <v>3445</v>
      </c>
      <c r="BD345" s="8"/>
      <c r="BE345" s="8"/>
      <c r="BF345" s="8"/>
      <c r="BG345" s="8"/>
      <c r="BH345" s="8"/>
    </row>
    <row r="346" spans="2:60">
      <c r="B346" s="11"/>
      <c r="C346" s="12"/>
      <c r="D346" s="8"/>
      <c r="E346" s="13"/>
      <c r="F346" s="14"/>
      <c r="G346" s="13"/>
      <c r="H346" s="1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2">
        <v>2933</v>
      </c>
      <c r="AK346" s="118">
        <v>222</v>
      </c>
      <c r="AL346" s="119" t="s">
        <v>117</v>
      </c>
      <c r="AM346" s="119" t="s">
        <v>119</v>
      </c>
      <c r="AN346" s="119" t="s">
        <v>122</v>
      </c>
      <c r="AO346" s="119" t="s">
        <v>115</v>
      </c>
      <c r="AP346" s="119" t="s">
        <v>113</v>
      </c>
      <c r="AQ346" s="119" t="s">
        <v>118</v>
      </c>
      <c r="AR346" s="119" t="s">
        <v>124</v>
      </c>
      <c r="AS346" s="119" t="s">
        <v>121</v>
      </c>
      <c r="AT346" s="8"/>
      <c r="AU346" s="8">
        <f t="shared" si="33"/>
        <v>16</v>
      </c>
      <c r="AV346" s="8">
        <f t="shared" si="34"/>
        <v>64</v>
      </c>
      <c r="AW346" s="8">
        <f t="shared" si="35"/>
        <v>512</v>
      </c>
      <c r="AX346" s="8">
        <f t="shared" si="36"/>
        <v>4</v>
      </c>
      <c r="AY346" s="8">
        <f t="shared" si="37"/>
        <v>1</v>
      </c>
      <c r="AZ346" s="8">
        <f t="shared" si="38"/>
        <v>32</v>
      </c>
      <c r="BA346" s="8">
        <f t="shared" si="39"/>
        <v>2048</v>
      </c>
      <c r="BB346" s="8">
        <f t="shared" si="40"/>
        <v>256</v>
      </c>
      <c r="BC346" s="8">
        <f t="shared" si="41"/>
        <v>2933</v>
      </c>
      <c r="BD346" s="8"/>
      <c r="BE346" s="8"/>
      <c r="BF346" s="8"/>
      <c r="BG346" s="8"/>
      <c r="BH346" s="8"/>
    </row>
    <row r="347" spans="2:60">
      <c r="B347" s="11"/>
      <c r="C347" s="12"/>
      <c r="D347" s="8"/>
      <c r="E347" s="13"/>
      <c r="F347" s="14"/>
      <c r="G347" s="13"/>
      <c r="H347" s="15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2">
        <v>1909</v>
      </c>
      <c r="AK347" s="118">
        <v>223</v>
      </c>
      <c r="AL347" s="119" t="s">
        <v>117</v>
      </c>
      <c r="AM347" s="119" t="s">
        <v>119</v>
      </c>
      <c r="AN347" s="119" t="s">
        <v>122</v>
      </c>
      <c r="AO347" s="119" t="s">
        <v>115</v>
      </c>
      <c r="AP347" s="119" t="s">
        <v>113</v>
      </c>
      <c r="AQ347" s="119" t="s">
        <v>118</v>
      </c>
      <c r="AR347" s="119" t="s">
        <v>121</v>
      </c>
      <c r="AS347" s="119" t="s">
        <v>123</v>
      </c>
      <c r="AT347" s="8"/>
      <c r="AU347" s="8">
        <f t="shared" si="33"/>
        <v>16</v>
      </c>
      <c r="AV347" s="8">
        <f t="shared" si="34"/>
        <v>64</v>
      </c>
      <c r="AW347" s="8">
        <f t="shared" si="35"/>
        <v>512</v>
      </c>
      <c r="AX347" s="8">
        <f t="shared" si="36"/>
        <v>4</v>
      </c>
      <c r="AY347" s="8">
        <f t="shared" si="37"/>
        <v>1</v>
      </c>
      <c r="AZ347" s="8">
        <f t="shared" si="38"/>
        <v>32</v>
      </c>
      <c r="BA347" s="8">
        <f t="shared" si="39"/>
        <v>256</v>
      </c>
      <c r="BB347" s="8">
        <f t="shared" si="40"/>
        <v>1024</v>
      </c>
      <c r="BC347" s="8">
        <f t="shared" si="41"/>
        <v>1909</v>
      </c>
      <c r="BD347" s="8"/>
      <c r="BE347" s="8"/>
      <c r="BF347" s="8"/>
      <c r="BG347" s="8"/>
      <c r="BH347" s="8"/>
    </row>
    <row r="348" spans="2:60">
      <c r="B348" s="11"/>
      <c r="C348" s="12"/>
      <c r="D348" s="8"/>
      <c r="E348" s="13"/>
      <c r="F348" s="14"/>
      <c r="G348" s="13"/>
      <c r="H348" s="1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2">
        <v>3317</v>
      </c>
      <c r="AK348" s="118">
        <v>224</v>
      </c>
      <c r="AL348" s="119" t="s">
        <v>120</v>
      </c>
      <c r="AM348" s="119" t="s">
        <v>119</v>
      </c>
      <c r="AN348" s="119" t="s">
        <v>117</v>
      </c>
      <c r="AO348" s="119" t="s">
        <v>115</v>
      </c>
      <c r="AP348" s="119" t="s">
        <v>113</v>
      </c>
      <c r="AQ348" s="119" t="s">
        <v>118</v>
      </c>
      <c r="AR348" s="119" t="s">
        <v>124</v>
      </c>
      <c r="AS348" s="119" t="s">
        <v>123</v>
      </c>
      <c r="AT348" s="8"/>
      <c r="AU348" s="8">
        <f t="shared" si="33"/>
        <v>128</v>
      </c>
      <c r="AV348" s="8">
        <f t="shared" si="34"/>
        <v>64</v>
      </c>
      <c r="AW348" s="8">
        <f t="shared" si="35"/>
        <v>16</v>
      </c>
      <c r="AX348" s="8">
        <f t="shared" si="36"/>
        <v>4</v>
      </c>
      <c r="AY348" s="8">
        <f t="shared" si="37"/>
        <v>1</v>
      </c>
      <c r="AZ348" s="8">
        <f t="shared" si="38"/>
        <v>32</v>
      </c>
      <c r="BA348" s="8">
        <f t="shared" si="39"/>
        <v>2048</v>
      </c>
      <c r="BB348" s="8">
        <f t="shared" si="40"/>
        <v>1024</v>
      </c>
      <c r="BC348" s="8">
        <f t="shared" si="41"/>
        <v>3317</v>
      </c>
      <c r="BD348" s="8"/>
      <c r="BE348" s="8"/>
      <c r="BF348" s="8"/>
      <c r="BG348" s="8"/>
      <c r="BH348" s="8"/>
    </row>
    <row r="349" spans="2:60">
      <c r="B349" s="11"/>
      <c r="C349" s="12"/>
      <c r="D349" s="8"/>
      <c r="E349" s="13"/>
      <c r="F349" s="14"/>
      <c r="G349" s="13"/>
      <c r="H349" s="1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2">
        <v>2805</v>
      </c>
      <c r="AK349" s="118">
        <v>225</v>
      </c>
      <c r="AL349" s="119" t="s">
        <v>120</v>
      </c>
      <c r="AM349" s="119" t="s">
        <v>119</v>
      </c>
      <c r="AN349" s="119" t="s">
        <v>122</v>
      </c>
      <c r="AO349" s="119" t="s">
        <v>115</v>
      </c>
      <c r="AP349" s="119" t="s">
        <v>113</v>
      </c>
      <c r="AQ349" s="119" t="s">
        <v>118</v>
      </c>
      <c r="AR349" s="119" t="s">
        <v>124</v>
      </c>
      <c r="AS349" s="119" t="s">
        <v>117</v>
      </c>
      <c r="AT349" s="8"/>
      <c r="AU349" s="8">
        <f t="shared" si="33"/>
        <v>128</v>
      </c>
      <c r="AV349" s="8">
        <f t="shared" si="34"/>
        <v>64</v>
      </c>
      <c r="AW349" s="8">
        <f t="shared" si="35"/>
        <v>512</v>
      </c>
      <c r="AX349" s="8">
        <f t="shared" si="36"/>
        <v>4</v>
      </c>
      <c r="AY349" s="8">
        <f t="shared" si="37"/>
        <v>1</v>
      </c>
      <c r="AZ349" s="8">
        <f t="shared" si="38"/>
        <v>32</v>
      </c>
      <c r="BA349" s="8">
        <f t="shared" si="39"/>
        <v>2048</v>
      </c>
      <c r="BB349" s="8">
        <f t="shared" si="40"/>
        <v>16</v>
      </c>
      <c r="BC349" s="8">
        <f t="shared" si="41"/>
        <v>2805</v>
      </c>
      <c r="BD349" s="8"/>
      <c r="BE349" s="8"/>
      <c r="BF349" s="8"/>
      <c r="BG349" s="8"/>
      <c r="BH349" s="8"/>
    </row>
    <row r="350" spans="2:60">
      <c r="B350" s="11"/>
      <c r="C350" s="12"/>
      <c r="D350" s="8"/>
      <c r="E350" s="13"/>
      <c r="F350" s="14"/>
      <c r="G350" s="13"/>
      <c r="H350" s="15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2">
        <v>1781</v>
      </c>
      <c r="AK350" s="118">
        <v>226</v>
      </c>
      <c r="AL350" s="119" t="s">
        <v>120</v>
      </c>
      <c r="AM350" s="119" t="s">
        <v>119</v>
      </c>
      <c r="AN350" s="119" t="s">
        <v>122</v>
      </c>
      <c r="AO350" s="119" t="s">
        <v>115</v>
      </c>
      <c r="AP350" s="119" t="s">
        <v>113</v>
      </c>
      <c r="AQ350" s="119" t="s">
        <v>118</v>
      </c>
      <c r="AR350" s="119" t="s">
        <v>117</v>
      </c>
      <c r="AS350" s="119" t="s">
        <v>123</v>
      </c>
      <c r="AT350" s="8"/>
      <c r="AU350" s="8">
        <f t="shared" si="33"/>
        <v>128</v>
      </c>
      <c r="AV350" s="8">
        <f t="shared" si="34"/>
        <v>64</v>
      </c>
      <c r="AW350" s="8">
        <f t="shared" si="35"/>
        <v>512</v>
      </c>
      <c r="AX350" s="8">
        <f t="shared" si="36"/>
        <v>4</v>
      </c>
      <c r="AY350" s="8">
        <f t="shared" si="37"/>
        <v>1</v>
      </c>
      <c r="AZ350" s="8">
        <f t="shared" si="38"/>
        <v>32</v>
      </c>
      <c r="BA350" s="8">
        <f t="shared" si="39"/>
        <v>16</v>
      </c>
      <c r="BB350" s="8">
        <f t="shared" si="40"/>
        <v>1024</v>
      </c>
      <c r="BC350" s="8">
        <f t="shared" si="41"/>
        <v>1781</v>
      </c>
      <c r="BD350" s="8"/>
      <c r="BE350" s="8"/>
      <c r="BF350" s="8"/>
      <c r="BG350" s="8"/>
      <c r="BH350" s="8"/>
    </row>
    <row r="351" spans="2:60">
      <c r="B351" s="11"/>
      <c r="C351" s="12"/>
      <c r="D351" s="8"/>
      <c r="E351" s="13"/>
      <c r="F351" s="14"/>
      <c r="G351" s="13"/>
      <c r="H351" s="1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2">
        <v>2549</v>
      </c>
      <c r="AK351" s="118">
        <v>227</v>
      </c>
      <c r="AL351" s="119" t="s">
        <v>120</v>
      </c>
      <c r="AM351" s="119" t="s">
        <v>119</v>
      </c>
      <c r="AN351" s="119" t="s">
        <v>117</v>
      </c>
      <c r="AO351" s="119" t="s">
        <v>115</v>
      </c>
      <c r="AP351" s="119" t="s">
        <v>113</v>
      </c>
      <c r="AQ351" s="119" t="s">
        <v>118</v>
      </c>
      <c r="AR351" s="119" t="s">
        <v>124</v>
      </c>
      <c r="AS351" s="119" t="s">
        <v>121</v>
      </c>
      <c r="AT351" s="8"/>
      <c r="AU351" s="8">
        <f t="shared" si="33"/>
        <v>128</v>
      </c>
      <c r="AV351" s="8">
        <f t="shared" si="34"/>
        <v>64</v>
      </c>
      <c r="AW351" s="8">
        <f t="shared" si="35"/>
        <v>16</v>
      </c>
      <c r="AX351" s="8">
        <f t="shared" si="36"/>
        <v>4</v>
      </c>
      <c r="AY351" s="8">
        <f t="shared" si="37"/>
        <v>1</v>
      </c>
      <c r="AZ351" s="8">
        <f t="shared" si="38"/>
        <v>32</v>
      </c>
      <c r="BA351" s="8">
        <f t="shared" si="39"/>
        <v>2048</v>
      </c>
      <c r="BB351" s="8">
        <f t="shared" si="40"/>
        <v>256</v>
      </c>
      <c r="BC351" s="8">
        <f t="shared" si="41"/>
        <v>2549</v>
      </c>
      <c r="BD351" s="8"/>
      <c r="BE351" s="8"/>
      <c r="BF351" s="8"/>
      <c r="BG351" s="8"/>
      <c r="BH351" s="8"/>
    </row>
    <row r="352" spans="2:60">
      <c r="B352" s="11"/>
      <c r="C352" s="12"/>
      <c r="D352" s="8"/>
      <c r="E352" s="13"/>
      <c r="F352" s="14"/>
      <c r="G352" s="13"/>
      <c r="H352" s="1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2">
        <v>1525</v>
      </c>
      <c r="AK352" s="118">
        <v>228</v>
      </c>
      <c r="AL352" s="119" t="s">
        <v>120</v>
      </c>
      <c r="AM352" s="119" t="s">
        <v>119</v>
      </c>
      <c r="AN352" s="119" t="s">
        <v>117</v>
      </c>
      <c r="AO352" s="119" t="s">
        <v>115</v>
      </c>
      <c r="AP352" s="119" t="s">
        <v>113</v>
      </c>
      <c r="AQ352" s="119" t="s">
        <v>118</v>
      </c>
      <c r="AR352" s="119" t="s">
        <v>121</v>
      </c>
      <c r="AS352" s="119" t="s">
        <v>123</v>
      </c>
      <c r="AT352" s="8"/>
      <c r="AU352" s="8">
        <f t="shared" si="33"/>
        <v>128</v>
      </c>
      <c r="AV352" s="8">
        <f t="shared" si="34"/>
        <v>64</v>
      </c>
      <c r="AW352" s="8">
        <f t="shared" si="35"/>
        <v>16</v>
      </c>
      <c r="AX352" s="8">
        <f t="shared" si="36"/>
        <v>4</v>
      </c>
      <c r="AY352" s="8">
        <f t="shared" si="37"/>
        <v>1</v>
      </c>
      <c r="AZ352" s="8">
        <f t="shared" si="38"/>
        <v>32</v>
      </c>
      <c r="BA352" s="8">
        <f t="shared" si="39"/>
        <v>256</v>
      </c>
      <c r="BB352" s="8">
        <f t="shared" si="40"/>
        <v>1024</v>
      </c>
      <c r="BC352" s="8">
        <f t="shared" si="41"/>
        <v>1525</v>
      </c>
      <c r="BD352" s="8"/>
      <c r="BE352" s="8"/>
      <c r="BF352" s="8"/>
      <c r="BG352" s="8"/>
      <c r="BH352" s="8"/>
    </row>
    <row r="353" spans="2:60">
      <c r="B353" s="11"/>
      <c r="C353" s="12"/>
      <c r="D353" s="8"/>
      <c r="E353" s="13"/>
      <c r="F353" s="14"/>
      <c r="G353" s="13"/>
      <c r="H353" s="1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2">
        <v>1013</v>
      </c>
      <c r="AK353" s="118">
        <v>229</v>
      </c>
      <c r="AL353" s="119" t="s">
        <v>120</v>
      </c>
      <c r="AM353" s="119" t="s">
        <v>119</v>
      </c>
      <c r="AN353" s="119" t="s">
        <v>122</v>
      </c>
      <c r="AO353" s="119" t="s">
        <v>115</v>
      </c>
      <c r="AP353" s="119" t="s">
        <v>113</v>
      </c>
      <c r="AQ353" s="119" t="s">
        <v>118</v>
      </c>
      <c r="AR353" s="119" t="s">
        <v>117</v>
      </c>
      <c r="AS353" s="119" t="s">
        <v>121</v>
      </c>
      <c r="AT353" s="8"/>
      <c r="AU353" s="8">
        <f t="shared" si="33"/>
        <v>128</v>
      </c>
      <c r="AV353" s="8">
        <f t="shared" si="34"/>
        <v>64</v>
      </c>
      <c r="AW353" s="8">
        <f t="shared" si="35"/>
        <v>512</v>
      </c>
      <c r="AX353" s="8">
        <f t="shared" si="36"/>
        <v>4</v>
      </c>
      <c r="AY353" s="8">
        <f t="shared" si="37"/>
        <v>1</v>
      </c>
      <c r="AZ353" s="8">
        <f t="shared" si="38"/>
        <v>32</v>
      </c>
      <c r="BA353" s="8">
        <f t="shared" si="39"/>
        <v>16</v>
      </c>
      <c r="BB353" s="8">
        <f t="shared" si="40"/>
        <v>256</v>
      </c>
      <c r="BC353" s="8">
        <f t="shared" si="41"/>
        <v>1013</v>
      </c>
      <c r="BD353" s="8"/>
      <c r="BE353" s="8"/>
      <c r="BF353" s="8"/>
      <c r="BG353" s="8"/>
      <c r="BH353" s="8"/>
    </row>
    <row r="354" spans="2:60">
      <c r="B354" s="11"/>
      <c r="C354" s="12"/>
      <c r="D354" s="8"/>
      <c r="E354" s="13"/>
      <c r="F354" s="14"/>
      <c r="G354" s="13"/>
      <c r="H354" s="15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2">
        <v>3981</v>
      </c>
      <c r="AK354" s="118">
        <v>230</v>
      </c>
      <c r="AL354" s="119" t="s">
        <v>120</v>
      </c>
      <c r="AM354" s="119" t="s">
        <v>122</v>
      </c>
      <c r="AN354" s="119" t="s">
        <v>121</v>
      </c>
      <c r="AO354" s="119" t="s">
        <v>115</v>
      </c>
      <c r="AP354" s="119" t="s">
        <v>113</v>
      </c>
      <c r="AQ354" s="119" t="s">
        <v>116</v>
      </c>
      <c r="AR354" s="119" t="s">
        <v>124</v>
      </c>
      <c r="AS354" s="119" t="s">
        <v>123</v>
      </c>
      <c r="AT354" s="8"/>
      <c r="AU354" s="8">
        <f t="shared" si="33"/>
        <v>128</v>
      </c>
      <c r="AV354" s="8">
        <f t="shared" si="34"/>
        <v>512</v>
      </c>
      <c r="AW354" s="8">
        <f t="shared" si="35"/>
        <v>256</v>
      </c>
      <c r="AX354" s="8">
        <f t="shared" si="36"/>
        <v>4</v>
      </c>
      <c r="AY354" s="8">
        <f t="shared" si="37"/>
        <v>1</v>
      </c>
      <c r="AZ354" s="8">
        <f t="shared" si="38"/>
        <v>8</v>
      </c>
      <c r="BA354" s="8">
        <f t="shared" si="39"/>
        <v>2048</v>
      </c>
      <c r="BB354" s="8">
        <f t="shared" si="40"/>
        <v>1024</v>
      </c>
      <c r="BC354" s="8">
        <f t="shared" si="41"/>
        <v>3981</v>
      </c>
      <c r="BD354" s="8"/>
      <c r="BE354" s="8"/>
      <c r="BF354" s="8"/>
      <c r="BG354" s="8"/>
      <c r="BH354" s="8"/>
    </row>
    <row r="355" spans="2:60">
      <c r="B355" s="11"/>
      <c r="C355" s="12"/>
      <c r="D355" s="8"/>
      <c r="E355" s="13"/>
      <c r="F355" s="14"/>
      <c r="G355" s="13"/>
      <c r="H355" s="1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2">
        <v>3917</v>
      </c>
      <c r="AK355" s="118">
        <v>231</v>
      </c>
      <c r="AL355" s="119" t="s">
        <v>121</v>
      </c>
      <c r="AM355" s="119" t="s">
        <v>119</v>
      </c>
      <c r="AN355" s="119" t="s">
        <v>122</v>
      </c>
      <c r="AO355" s="119" t="s">
        <v>115</v>
      </c>
      <c r="AP355" s="119" t="s">
        <v>113</v>
      </c>
      <c r="AQ355" s="119" t="s">
        <v>116</v>
      </c>
      <c r="AR355" s="119" t="s">
        <v>124</v>
      </c>
      <c r="AS355" s="119" t="s">
        <v>123</v>
      </c>
      <c r="AT355" s="8"/>
      <c r="AU355" s="8">
        <f t="shared" si="33"/>
        <v>256</v>
      </c>
      <c r="AV355" s="8">
        <f t="shared" si="34"/>
        <v>64</v>
      </c>
      <c r="AW355" s="8">
        <f t="shared" si="35"/>
        <v>512</v>
      </c>
      <c r="AX355" s="8">
        <f t="shared" si="36"/>
        <v>4</v>
      </c>
      <c r="AY355" s="8">
        <f t="shared" si="37"/>
        <v>1</v>
      </c>
      <c r="AZ355" s="8">
        <f t="shared" si="38"/>
        <v>8</v>
      </c>
      <c r="BA355" s="8">
        <f t="shared" si="39"/>
        <v>2048</v>
      </c>
      <c r="BB355" s="8">
        <f t="shared" si="40"/>
        <v>1024</v>
      </c>
      <c r="BC355" s="8">
        <f t="shared" si="41"/>
        <v>3917</v>
      </c>
      <c r="BD355" s="8"/>
      <c r="BE355" s="8"/>
      <c r="BF355" s="8"/>
      <c r="BG355" s="8"/>
      <c r="BH355" s="8"/>
    </row>
    <row r="356" spans="2:60">
      <c r="B356" s="11"/>
      <c r="C356" s="12"/>
      <c r="D356" s="8"/>
      <c r="E356" s="13"/>
      <c r="F356" s="14"/>
      <c r="G356" s="13"/>
      <c r="H356" s="1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2">
        <v>3789</v>
      </c>
      <c r="AK356" s="118">
        <v>232</v>
      </c>
      <c r="AL356" s="119" t="s">
        <v>120</v>
      </c>
      <c r="AM356" s="119" t="s">
        <v>119</v>
      </c>
      <c r="AN356" s="119" t="s">
        <v>122</v>
      </c>
      <c r="AO356" s="119" t="s">
        <v>115</v>
      </c>
      <c r="AP356" s="119" t="s">
        <v>113</v>
      </c>
      <c r="AQ356" s="119" t="s">
        <v>116</v>
      </c>
      <c r="AR356" s="119" t="s">
        <v>124</v>
      </c>
      <c r="AS356" s="119" t="s">
        <v>123</v>
      </c>
      <c r="AT356" s="8"/>
      <c r="AU356" s="8">
        <f t="shared" si="33"/>
        <v>128</v>
      </c>
      <c r="AV356" s="8">
        <f t="shared" si="34"/>
        <v>64</v>
      </c>
      <c r="AW356" s="8">
        <f t="shared" si="35"/>
        <v>512</v>
      </c>
      <c r="AX356" s="8">
        <f t="shared" si="36"/>
        <v>4</v>
      </c>
      <c r="AY356" s="8">
        <f t="shared" si="37"/>
        <v>1</v>
      </c>
      <c r="AZ356" s="8">
        <f t="shared" si="38"/>
        <v>8</v>
      </c>
      <c r="BA356" s="8">
        <f t="shared" si="39"/>
        <v>2048</v>
      </c>
      <c r="BB356" s="8">
        <f t="shared" si="40"/>
        <v>1024</v>
      </c>
      <c r="BC356" s="8">
        <f t="shared" si="41"/>
        <v>3789</v>
      </c>
      <c r="BD356" s="8"/>
      <c r="BE356" s="8"/>
      <c r="BF356" s="8"/>
      <c r="BG356" s="8"/>
      <c r="BH356" s="8"/>
    </row>
    <row r="357" spans="2:60">
      <c r="B357" s="11"/>
      <c r="C357" s="12"/>
      <c r="D357" s="8"/>
      <c r="E357" s="13"/>
      <c r="F357" s="14"/>
      <c r="G357" s="13"/>
      <c r="H357" s="15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2">
        <v>3533</v>
      </c>
      <c r="AK357" s="118">
        <v>233</v>
      </c>
      <c r="AL357" s="119" t="s">
        <v>120</v>
      </c>
      <c r="AM357" s="119" t="s">
        <v>119</v>
      </c>
      <c r="AN357" s="119" t="s">
        <v>121</v>
      </c>
      <c r="AO357" s="119" t="s">
        <v>115</v>
      </c>
      <c r="AP357" s="119" t="s">
        <v>113</v>
      </c>
      <c r="AQ357" s="119" t="s">
        <v>116</v>
      </c>
      <c r="AR357" s="119" t="s">
        <v>124</v>
      </c>
      <c r="AS357" s="119" t="s">
        <v>123</v>
      </c>
      <c r="AT357" s="8"/>
      <c r="AU357" s="8">
        <f t="shared" si="33"/>
        <v>128</v>
      </c>
      <c r="AV357" s="8">
        <f t="shared" si="34"/>
        <v>64</v>
      </c>
      <c r="AW357" s="8">
        <f t="shared" si="35"/>
        <v>256</v>
      </c>
      <c r="AX357" s="8">
        <f t="shared" si="36"/>
        <v>4</v>
      </c>
      <c r="AY357" s="8">
        <f t="shared" si="37"/>
        <v>1</v>
      </c>
      <c r="AZ357" s="8">
        <f t="shared" si="38"/>
        <v>8</v>
      </c>
      <c r="BA357" s="8">
        <f t="shared" si="39"/>
        <v>2048</v>
      </c>
      <c r="BB357" s="8">
        <f t="shared" si="40"/>
        <v>1024</v>
      </c>
      <c r="BC357" s="8">
        <f t="shared" si="41"/>
        <v>3533</v>
      </c>
      <c r="BD357" s="8"/>
      <c r="BE357" s="8"/>
      <c r="BF357" s="8"/>
      <c r="BG357" s="8"/>
      <c r="BH357" s="8"/>
    </row>
    <row r="358" spans="2:60">
      <c r="B358" s="11"/>
      <c r="C358" s="12"/>
      <c r="D358" s="8"/>
      <c r="E358" s="13"/>
      <c r="F358" s="14"/>
      <c r="G358" s="13"/>
      <c r="H358" s="1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2">
        <v>3021</v>
      </c>
      <c r="AK358" s="118">
        <v>234</v>
      </c>
      <c r="AL358" s="119" t="s">
        <v>120</v>
      </c>
      <c r="AM358" s="119" t="s">
        <v>119</v>
      </c>
      <c r="AN358" s="119" t="s">
        <v>122</v>
      </c>
      <c r="AO358" s="119" t="s">
        <v>115</v>
      </c>
      <c r="AP358" s="119" t="s">
        <v>113</v>
      </c>
      <c r="AQ358" s="119" t="s">
        <v>116</v>
      </c>
      <c r="AR358" s="119" t="s">
        <v>124</v>
      </c>
      <c r="AS358" s="119" t="s">
        <v>121</v>
      </c>
      <c r="AT358" s="8"/>
      <c r="AU358" s="8">
        <f t="shared" si="33"/>
        <v>128</v>
      </c>
      <c r="AV358" s="8">
        <f t="shared" si="34"/>
        <v>64</v>
      </c>
      <c r="AW358" s="8">
        <f t="shared" si="35"/>
        <v>512</v>
      </c>
      <c r="AX358" s="8">
        <f t="shared" si="36"/>
        <v>4</v>
      </c>
      <c r="AY358" s="8">
        <f t="shared" si="37"/>
        <v>1</v>
      </c>
      <c r="AZ358" s="8">
        <f t="shared" si="38"/>
        <v>8</v>
      </c>
      <c r="BA358" s="8">
        <f t="shared" si="39"/>
        <v>2048</v>
      </c>
      <c r="BB358" s="8">
        <f t="shared" si="40"/>
        <v>256</v>
      </c>
      <c r="BC358" s="8">
        <f t="shared" si="41"/>
        <v>3021</v>
      </c>
      <c r="BD358" s="8"/>
      <c r="BE358" s="8"/>
      <c r="BF358" s="8"/>
      <c r="BG358" s="8"/>
      <c r="BH358" s="8"/>
    </row>
    <row r="359" spans="2:60">
      <c r="B359" s="11"/>
      <c r="C359" s="12"/>
      <c r="D359" s="8"/>
      <c r="E359" s="13"/>
      <c r="F359" s="14"/>
      <c r="G359" s="13"/>
      <c r="H359" s="1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2">
        <v>1997</v>
      </c>
      <c r="AK359" s="118">
        <v>235</v>
      </c>
      <c r="AL359" s="119" t="s">
        <v>120</v>
      </c>
      <c r="AM359" s="119" t="s">
        <v>119</v>
      </c>
      <c r="AN359" s="119" t="s">
        <v>122</v>
      </c>
      <c r="AO359" s="119" t="s">
        <v>115</v>
      </c>
      <c r="AP359" s="119" t="s">
        <v>113</v>
      </c>
      <c r="AQ359" s="119" t="s">
        <v>116</v>
      </c>
      <c r="AR359" s="119" t="s">
        <v>121</v>
      </c>
      <c r="AS359" s="119" t="s">
        <v>123</v>
      </c>
      <c r="AT359" s="8"/>
      <c r="AU359" s="8">
        <f t="shared" si="33"/>
        <v>128</v>
      </c>
      <c r="AV359" s="8">
        <f t="shared" si="34"/>
        <v>64</v>
      </c>
      <c r="AW359" s="8">
        <f t="shared" si="35"/>
        <v>512</v>
      </c>
      <c r="AX359" s="8">
        <f t="shared" si="36"/>
        <v>4</v>
      </c>
      <c r="AY359" s="8">
        <f t="shared" si="37"/>
        <v>1</v>
      </c>
      <c r="AZ359" s="8">
        <f t="shared" si="38"/>
        <v>8</v>
      </c>
      <c r="BA359" s="8">
        <f t="shared" si="39"/>
        <v>256</v>
      </c>
      <c r="BB359" s="8">
        <f t="shared" si="40"/>
        <v>1024</v>
      </c>
      <c r="BC359" s="8">
        <f t="shared" si="41"/>
        <v>1997</v>
      </c>
      <c r="BD359" s="8"/>
      <c r="BE359" s="8"/>
      <c r="BF359" s="8"/>
      <c r="BG359" s="8"/>
      <c r="BH359" s="8"/>
    </row>
    <row r="360" spans="2:60">
      <c r="B360" s="11"/>
      <c r="C360" s="12"/>
      <c r="D360" s="8"/>
      <c r="E360" s="13"/>
      <c r="F360" s="14"/>
      <c r="G360" s="13"/>
      <c r="H360" s="1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2">
        <v>3885</v>
      </c>
      <c r="AK360" s="118">
        <v>236</v>
      </c>
      <c r="AL360" s="119" t="s">
        <v>115</v>
      </c>
      <c r="AM360" s="119" t="s">
        <v>122</v>
      </c>
      <c r="AN360" s="119" t="s">
        <v>121</v>
      </c>
      <c r="AO360" s="119" t="s">
        <v>116</v>
      </c>
      <c r="AP360" s="119" t="s">
        <v>113</v>
      </c>
      <c r="AQ360" s="119" t="s">
        <v>118</v>
      </c>
      <c r="AR360" s="119" t="s">
        <v>124</v>
      </c>
      <c r="AS360" s="119" t="s">
        <v>123</v>
      </c>
      <c r="AT360" s="8"/>
      <c r="AU360" s="8">
        <f t="shared" si="33"/>
        <v>4</v>
      </c>
      <c r="AV360" s="8">
        <f t="shared" si="34"/>
        <v>512</v>
      </c>
      <c r="AW360" s="8">
        <f t="shared" si="35"/>
        <v>256</v>
      </c>
      <c r="AX360" s="8">
        <f t="shared" si="36"/>
        <v>8</v>
      </c>
      <c r="AY360" s="8">
        <f t="shared" si="37"/>
        <v>1</v>
      </c>
      <c r="AZ360" s="8">
        <f t="shared" si="38"/>
        <v>32</v>
      </c>
      <c r="BA360" s="8">
        <f t="shared" si="39"/>
        <v>2048</v>
      </c>
      <c r="BB360" s="8">
        <f t="shared" si="40"/>
        <v>1024</v>
      </c>
      <c r="BC360" s="8">
        <f t="shared" si="41"/>
        <v>3885</v>
      </c>
      <c r="BD360" s="8"/>
      <c r="BE360" s="8"/>
      <c r="BF360" s="8"/>
      <c r="BG360" s="8"/>
      <c r="BH360" s="8"/>
    </row>
    <row r="361" spans="2:60">
      <c r="B361" s="11"/>
      <c r="C361" s="12"/>
      <c r="D361" s="8"/>
      <c r="E361" s="13"/>
      <c r="F361" s="14"/>
      <c r="G361" s="13"/>
      <c r="H361" s="1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2">
        <v>3757</v>
      </c>
      <c r="AK361" s="118">
        <v>237</v>
      </c>
      <c r="AL361" s="119" t="s">
        <v>120</v>
      </c>
      <c r="AM361" s="119" t="s">
        <v>122</v>
      </c>
      <c r="AN361" s="119" t="s">
        <v>118</v>
      </c>
      <c r="AO361" s="119" t="s">
        <v>115</v>
      </c>
      <c r="AP361" s="119" t="s">
        <v>113</v>
      </c>
      <c r="AQ361" s="119" t="s">
        <v>116</v>
      </c>
      <c r="AR361" s="119" t="s">
        <v>124</v>
      </c>
      <c r="AS361" s="119" t="s">
        <v>123</v>
      </c>
      <c r="AT361" s="8"/>
      <c r="AU361" s="8">
        <f t="shared" si="33"/>
        <v>128</v>
      </c>
      <c r="AV361" s="8">
        <f t="shared" si="34"/>
        <v>512</v>
      </c>
      <c r="AW361" s="8">
        <f t="shared" si="35"/>
        <v>32</v>
      </c>
      <c r="AX361" s="8">
        <f t="shared" si="36"/>
        <v>4</v>
      </c>
      <c r="AY361" s="8">
        <f t="shared" si="37"/>
        <v>1</v>
      </c>
      <c r="AZ361" s="8">
        <f t="shared" si="38"/>
        <v>8</v>
      </c>
      <c r="BA361" s="8">
        <f t="shared" si="39"/>
        <v>2048</v>
      </c>
      <c r="BB361" s="8">
        <f t="shared" si="40"/>
        <v>1024</v>
      </c>
      <c r="BC361" s="8">
        <f t="shared" si="41"/>
        <v>3757</v>
      </c>
      <c r="BD361" s="8"/>
      <c r="BE361" s="8"/>
      <c r="BF361" s="8"/>
      <c r="BG361" s="8"/>
      <c r="BH361" s="8"/>
    </row>
    <row r="362" spans="2:60">
      <c r="B362" s="11"/>
      <c r="C362" s="12"/>
      <c r="D362" s="8"/>
      <c r="E362" s="13"/>
      <c r="F362" s="14"/>
      <c r="G362" s="13"/>
      <c r="H362" s="1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2">
        <v>3501</v>
      </c>
      <c r="AK362" s="118">
        <v>238</v>
      </c>
      <c r="AL362" s="119" t="s">
        <v>120</v>
      </c>
      <c r="AM362" s="119" t="s">
        <v>118</v>
      </c>
      <c r="AN362" s="119" t="s">
        <v>121</v>
      </c>
      <c r="AO362" s="119" t="s">
        <v>115</v>
      </c>
      <c r="AP362" s="119" t="s">
        <v>113</v>
      </c>
      <c r="AQ362" s="119" t="s">
        <v>116</v>
      </c>
      <c r="AR362" s="119" t="s">
        <v>124</v>
      </c>
      <c r="AS362" s="119" t="s">
        <v>123</v>
      </c>
      <c r="AT362" s="8"/>
      <c r="AU362" s="8">
        <f t="shared" si="33"/>
        <v>128</v>
      </c>
      <c r="AV362" s="8">
        <f t="shared" si="34"/>
        <v>32</v>
      </c>
      <c r="AW362" s="8">
        <f t="shared" si="35"/>
        <v>256</v>
      </c>
      <c r="AX362" s="8">
        <f t="shared" si="36"/>
        <v>4</v>
      </c>
      <c r="AY362" s="8">
        <f t="shared" si="37"/>
        <v>1</v>
      </c>
      <c r="AZ362" s="8">
        <f t="shared" si="38"/>
        <v>8</v>
      </c>
      <c r="BA362" s="8">
        <f t="shared" si="39"/>
        <v>2048</v>
      </c>
      <c r="BB362" s="8">
        <f t="shared" si="40"/>
        <v>1024</v>
      </c>
      <c r="BC362" s="8">
        <f t="shared" si="41"/>
        <v>3501</v>
      </c>
      <c r="BD362" s="8"/>
      <c r="BE362" s="8"/>
      <c r="BF362" s="8"/>
      <c r="BG362" s="8"/>
      <c r="BH362" s="8"/>
    </row>
    <row r="363" spans="2:60">
      <c r="B363" s="11"/>
      <c r="C363" s="12"/>
      <c r="D363" s="8"/>
      <c r="E363" s="13"/>
      <c r="F363" s="14"/>
      <c r="G363" s="13"/>
      <c r="H363" s="1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2">
        <v>2989</v>
      </c>
      <c r="AK363" s="118">
        <v>239</v>
      </c>
      <c r="AL363" s="119" t="s">
        <v>120</v>
      </c>
      <c r="AM363" s="119" t="s">
        <v>122</v>
      </c>
      <c r="AN363" s="119" t="s">
        <v>118</v>
      </c>
      <c r="AO363" s="119" t="s">
        <v>115</v>
      </c>
      <c r="AP363" s="119" t="s">
        <v>113</v>
      </c>
      <c r="AQ363" s="119" t="s">
        <v>116</v>
      </c>
      <c r="AR363" s="119" t="s">
        <v>124</v>
      </c>
      <c r="AS363" s="119" t="s">
        <v>121</v>
      </c>
      <c r="AT363" s="8"/>
      <c r="AU363" s="8">
        <f t="shared" si="33"/>
        <v>128</v>
      </c>
      <c r="AV363" s="8">
        <f t="shared" si="34"/>
        <v>512</v>
      </c>
      <c r="AW363" s="8">
        <f t="shared" si="35"/>
        <v>32</v>
      </c>
      <c r="AX363" s="8">
        <f t="shared" si="36"/>
        <v>4</v>
      </c>
      <c r="AY363" s="8">
        <f t="shared" si="37"/>
        <v>1</v>
      </c>
      <c r="AZ363" s="8">
        <f t="shared" si="38"/>
        <v>8</v>
      </c>
      <c r="BA363" s="8">
        <f t="shared" si="39"/>
        <v>2048</v>
      </c>
      <c r="BB363" s="8">
        <f t="shared" si="40"/>
        <v>256</v>
      </c>
      <c r="BC363" s="8">
        <f t="shared" si="41"/>
        <v>2989</v>
      </c>
      <c r="BD363" s="8"/>
      <c r="BE363" s="8"/>
      <c r="BF363" s="8"/>
      <c r="BG363" s="8"/>
      <c r="BH363" s="8"/>
    </row>
    <row r="364" spans="2:60">
      <c r="B364" s="11"/>
      <c r="C364" s="12"/>
      <c r="D364" s="8"/>
      <c r="E364" s="13"/>
      <c r="F364" s="14"/>
      <c r="G364" s="13"/>
      <c r="H364" s="1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2">
        <v>1965</v>
      </c>
      <c r="AK364" s="118">
        <v>240</v>
      </c>
      <c r="AL364" s="119" t="s">
        <v>120</v>
      </c>
      <c r="AM364" s="119" t="s">
        <v>122</v>
      </c>
      <c r="AN364" s="119" t="s">
        <v>118</v>
      </c>
      <c r="AO364" s="119" t="s">
        <v>115</v>
      </c>
      <c r="AP364" s="119" t="s">
        <v>113</v>
      </c>
      <c r="AQ364" s="119" t="s">
        <v>116</v>
      </c>
      <c r="AR364" s="119" t="s">
        <v>121</v>
      </c>
      <c r="AS364" s="119" t="s">
        <v>123</v>
      </c>
      <c r="AT364" s="8"/>
      <c r="AU364" s="8">
        <f t="shared" si="33"/>
        <v>128</v>
      </c>
      <c r="AV364" s="8">
        <f t="shared" si="34"/>
        <v>512</v>
      </c>
      <c r="AW364" s="8">
        <f t="shared" si="35"/>
        <v>32</v>
      </c>
      <c r="AX364" s="8">
        <f t="shared" si="36"/>
        <v>4</v>
      </c>
      <c r="AY364" s="8">
        <f t="shared" si="37"/>
        <v>1</v>
      </c>
      <c r="AZ364" s="8">
        <f t="shared" si="38"/>
        <v>8</v>
      </c>
      <c r="BA364" s="8">
        <f t="shared" si="39"/>
        <v>256</v>
      </c>
      <c r="BB364" s="8">
        <f t="shared" si="40"/>
        <v>1024</v>
      </c>
      <c r="BC364" s="8">
        <f t="shared" si="41"/>
        <v>1965</v>
      </c>
      <c r="BD364" s="8"/>
      <c r="BE364" s="8"/>
      <c r="BF364" s="8"/>
      <c r="BG364" s="8"/>
      <c r="BH364" s="8"/>
    </row>
    <row r="365" spans="2:60">
      <c r="B365" s="11"/>
      <c r="C365" s="12"/>
      <c r="D365" s="8"/>
      <c r="E365" s="13"/>
      <c r="F365" s="14"/>
      <c r="G365" s="13"/>
      <c r="H365" s="15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2">
        <v>3693</v>
      </c>
      <c r="AK365" s="118">
        <v>241</v>
      </c>
      <c r="AL365" s="119" t="s">
        <v>115</v>
      </c>
      <c r="AM365" s="119" t="s">
        <v>119</v>
      </c>
      <c r="AN365" s="119" t="s">
        <v>122</v>
      </c>
      <c r="AO365" s="119" t="s">
        <v>116</v>
      </c>
      <c r="AP365" s="119" t="s">
        <v>113</v>
      </c>
      <c r="AQ365" s="119" t="s">
        <v>118</v>
      </c>
      <c r="AR365" s="119" t="s">
        <v>124</v>
      </c>
      <c r="AS365" s="119" t="s">
        <v>123</v>
      </c>
      <c r="AT365" s="8"/>
      <c r="AU365" s="8">
        <f t="shared" si="33"/>
        <v>4</v>
      </c>
      <c r="AV365" s="8">
        <f t="shared" si="34"/>
        <v>64</v>
      </c>
      <c r="AW365" s="8">
        <f t="shared" si="35"/>
        <v>512</v>
      </c>
      <c r="AX365" s="8">
        <f t="shared" si="36"/>
        <v>8</v>
      </c>
      <c r="AY365" s="8">
        <f t="shared" si="37"/>
        <v>1</v>
      </c>
      <c r="AZ365" s="8">
        <f t="shared" si="38"/>
        <v>32</v>
      </c>
      <c r="BA365" s="8">
        <f t="shared" si="39"/>
        <v>2048</v>
      </c>
      <c r="BB365" s="8">
        <f t="shared" si="40"/>
        <v>1024</v>
      </c>
      <c r="BC365" s="8">
        <f t="shared" si="41"/>
        <v>3693</v>
      </c>
      <c r="BD365" s="8"/>
      <c r="BE365" s="8"/>
      <c r="BF365" s="8"/>
      <c r="BG365" s="8"/>
      <c r="BH365" s="8"/>
    </row>
    <row r="366" spans="2:60">
      <c r="B366" s="11"/>
      <c r="C366" s="12"/>
      <c r="D366" s="8"/>
      <c r="E366" s="13"/>
      <c r="F366" s="14"/>
      <c r="G366" s="13"/>
      <c r="H366" s="1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2">
        <v>3437</v>
      </c>
      <c r="AK366" s="118">
        <v>242</v>
      </c>
      <c r="AL366" s="119" t="s">
        <v>115</v>
      </c>
      <c r="AM366" s="119" t="s">
        <v>119</v>
      </c>
      <c r="AN366" s="119" t="s">
        <v>121</v>
      </c>
      <c r="AO366" s="119" t="s">
        <v>116</v>
      </c>
      <c r="AP366" s="119" t="s">
        <v>113</v>
      </c>
      <c r="AQ366" s="119" t="s">
        <v>118</v>
      </c>
      <c r="AR366" s="119" t="s">
        <v>124</v>
      </c>
      <c r="AS366" s="119" t="s">
        <v>123</v>
      </c>
      <c r="AT366" s="8"/>
      <c r="AU366" s="8">
        <f t="shared" si="33"/>
        <v>4</v>
      </c>
      <c r="AV366" s="8">
        <f t="shared" si="34"/>
        <v>64</v>
      </c>
      <c r="AW366" s="8">
        <f t="shared" si="35"/>
        <v>256</v>
      </c>
      <c r="AX366" s="8">
        <f t="shared" si="36"/>
        <v>8</v>
      </c>
      <c r="AY366" s="8">
        <f t="shared" si="37"/>
        <v>1</v>
      </c>
      <c r="AZ366" s="8">
        <f t="shared" si="38"/>
        <v>32</v>
      </c>
      <c r="BA366" s="8">
        <f t="shared" si="39"/>
        <v>2048</v>
      </c>
      <c r="BB366" s="8">
        <f t="shared" si="40"/>
        <v>1024</v>
      </c>
      <c r="BC366" s="8">
        <f t="shared" si="41"/>
        <v>3437</v>
      </c>
      <c r="BD366" s="8"/>
      <c r="BE366" s="8"/>
      <c r="BF366" s="8"/>
      <c r="BG366" s="8"/>
      <c r="BH366" s="8"/>
    </row>
    <row r="367" spans="2:60">
      <c r="B367" s="11"/>
      <c r="C367" s="12"/>
      <c r="D367" s="8"/>
      <c r="E367" s="13"/>
      <c r="F367" s="14"/>
      <c r="G367" s="13"/>
      <c r="H367" s="1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2">
        <v>2925</v>
      </c>
      <c r="AK367" s="118">
        <v>243</v>
      </c>
      <c r="AL367" s="119" t="s">
        <v>115</v>
      </c>
      <c r="AM367" s="119" t="s">
        <v>119</v>
      </c>
      <c r="AN367" s="119" t="s">
        <v>122</v>
      </c>
      <c r="AO367" s="119" t="s">
        <v>116</v>
      </c>
      <c r="AP367" s="119" t="s">
        <v>113</v>
      </c>
      <c r="AQ367" s="119" t="s">
        <v>118</v>
      </c>
      <c r="AR367" s="119" t="s">
        <v>124</v>
      </c>
      <c r="AS367" s="119" t="s">
        <v>121</v>
      </c>
      <c r="AT367" s="8"/>
      <c r="AU367" s="8">
        <f t="shared" si="33"/>
        <v>4</v>
      </c>
      <c r="AV367" s="8">
        <f t="shared" si="34"/>
        <v>64</v>
      </c>
      <c r="AW367" s="8">
        <f t="shared" si="35"/>
        <v>512</v>
      </c>
      <c r="AX367" s="8">
        <f t="shared" si="36"/>
        <v>8</v>
      </c>
      <c r="AY367" s="8">
        <f t="shared" si="37"/>
        <v>1</v>
      </c>
      <c r="AZ367" s="8">
        <f t="shared" si="38"/>
        <v>32</v>
      </c>
      <c r="BA367" s="8">
        <f t="shared" si="39"/>
        <v>2048</v>
      </c>
      <c r="BB367" s="8">
        <f t="shared" si="40"/>
        <v>256</v>
      </c>
      <c r="BC367" s="8">
        <f t="shared" si="41"/>
        <v>2925</v>
      </c>
      <c r="BD367" s="8"/>
      <c r="BE367" s="8"/>
      <c r="BF367" s="8"/>
      <c r="BG367" s="8"/>
      <c r="BH367" s="8"/>
    </row>
    <row r="368" spans="2:60">
      <c r="B368" s="11"/>
      <c r="C368" s="12"/>
      <c r="D368" s="8"/>
      <c r="E368" s="13"/>
      <c r="F368" s="14"/>
      <c r="G368" s="13"/>
      <c r="H368" s="1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2">
        <v>1901</v>
      </c>
      <c r="AK368" s="118">
        <v>244</v>
      </c>
      <c r="AL368" s="119" t="s">
        <v>115</v>
      </c>
      <c r="AM368" s="119" t="s">
        <v>119</v>
      </c>
      <c r="AN368" s="119" t="s">
        <v>122</v>
      </c>
      <c r="AO368" s="119" t="s">
        <v>116</v>
      </c>
      <c r="AP368" s="119" t="s">
        <v>113</v>
      </c>
      <c r="AQ368" s="119" t="s">
        <v>118</v>
      </c>
      <c r="AR368" s="119" t="s">
        <v>121</v>
      </c>
      <c r="AS368" s="119" t="s">
        <v>123</v>
      </c>
      <c r="AT368" s="8"/>
      <c r="AU368" s="8">
        <f t="shared" si="33"/>
        <v>4</v>
      </c>
      <c r="AV368" s="8">
        <f t="shared" si="34"/>
        <v>64</v>
      </c>
      <c r="AW368" s="8">
        <f t="shared" si="35"/>
        <v>512</v>
      </c>
      <c r="AX368" s="8">
        <f t="shared" si="36"/>
        <v>8</v>
      </c>
      <c r="AY368" s="8">
        <f t="shared" si="37"/>
        <v>1</v>
      </c>
      <c r="AZ368" s="8">
        <f t="shared" si="38"/>
        <v>32</v>
      </c>
      <c r="BA368" s="8">
        <f t="shared" si="39"/>
        <v>256</v>
      </c>
      <c r="BB368" s="8">
        <f t="shared" si="40"/>
        <v>1024</v>
      </c>
      <c r="BC368" s="8">
        <f t="shared" si="41"/>
        <v>1901</v>
      </c>
      <c r="BD368" s="8"/>
      <c r="BE368" s="8"/>
      <c r="BF368" s="8"/>
      <c r="BG368" s="8"/>
      <c r="BH368" s="8"/>
    </row>
    <row r="369" spans="2:60">
      <c r="B369" s="11"/>
      <c r="C369" s="12"/>
      <c r="D369" s="8"/>
      <c r="E369" s="13"/>
      <c r="F369" s="14"/>
      <c r="G369" s="13"/>
      <c r="H369" s="15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2">
        <v>3309</v>
      </c>
      <c r="AK369" s="118">
        <v>245</v>
      </c>
      <c r="AL369" s="119" t="s">
        <v>120</v>
      </c>
      <c r="AM369" s="119" t="s">
        <v>119</v>
      </c>
      <c r="AN369" s="119" t="s">
        <v>118</v>
      </c>
      <c r="AO369" s="119" t="s">
        <v>115</v>
      </c>
      <c r="AP369" s="119" t="s">
        <v>113</v>
      </c>
      <c r="AQ369" s="119" t="s">
        <v>116</v>
      </c>
      <c r="AR369" s="119" t="s">
        <v>124</v>
      </c>
      <c r="AS369" s="119" t="s">
        <v>123</v>
      </c>
      <c r="AT369" s="8"/>
      <c r="AU369" s="8">
        <f t="shared" si="33"/>
        <v>128</v>
      </c>
      <c r="AV369" s="8">
        <f t="shared" si="34"/>
        <v>64</v>
      </c>
      <c r="AW369" s="8">
        <f t="shared" si="35"/>
        <v>32</v>
      </c>
      <c r="AX369" s="8">
        <f t="shared" si="36"/>
        <v>4</v>
      </c>
      <c r="AY369" s="8">
        <f t="shared" si="37"/>
        <v>1</v>
      </c>
      <c r="AZ369" s="8">
        <f t="shared" si="38"/>
        <v>8</v>
      </c>
      <c r="BA369" s="8">
        <f t="shared" si="39"/>
        <v>2048</v>
      </c>
      <c r="BB369" s="8">
        <f t="shared" si="40"/>
        <v>1024</v>
      </c>
      <c r="BC369" s="8">
        <f t="shared" si="41"/>
        <v>3309</v>
      </c>
      <c r="BD369" s="8"/>
      <c r="BE369" s="8"/>
      <c r="BF369" s="8"/>
      <c r="BG369" s="8"/>
      <c r="BH369" s="8"/>
    </row>
    <row r="370" spans="2:60">
      <c r="B370" s="11"/>
      <c r="C370" s="12"/>
      <c r="D370" s="8"/>
      <c r="E370" s="13"/>
      <c r="F370" s="14"/>
      <c r="G370" s="13"/>
      <c r="H370" s="1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2">
        <v>2797</v>
      </c>
      <c r="AK370" s="118">
        <v>246</v>
      </c>
      <c r="AL370" s="119" t="s">
        <v>115</v>
      </c>
      <c r="AM370" s="119" t="s">
        <v>119</v>
      </c>
      <c r="AN370" s="119" t="s">
        <v>122</v>
      </c>
      <c r="AO370" s="119" t="s">
        <v>116</v>
      </c>
      <c r="AP370" s="119" t="s">
        <v>113</v>
      </c>
      <c r="AQ370" s="119" t="s">
        <v>118</v>
      </c>
      <c r="AR370" s="119" t="s">
        <v>124</v>
      </c>
      <c r="AS370" s="119" t="s">
        <v>120</v>
      </c>
      <c r="AT370" s="8"/>
      <c r="AU370" s="8">
        <f t="shared" si="33"/>
        <v>4</v>
      </c>
      <c r="AV370" s="8">
        <f t="shared" si="34"/>
        <v>64</v>
      </c>
      <c r="AW370" s="8">
        <f t="shared" si="35"/>
        <v>512</v>
      </c>
      <c r="AX370" s="8">
        <f t="shared" si="36"/>
        <v>8</v>
      </c>
      <c r="AY370" s="8">
        <f t="shared" si="37"/>
        <v>1</v>
      </c>
      <c r="AZ370" s="8">
        <f t="shared" si="38"/>
        <v>32</v>
      </c>
      <c r="BA370" s="8">
        <f t="shared" si="39"/>
        <v>2048</v>
      </c>
      <c r="BB370" s="8">
        <f t="shared" si="40"/>
        <v>128</v>
      </c>
      <c r="BC370" s="8">
        <f t="shared" si="41"/>
        <v>2797</v>
      </c>
      <c r="BD370" s="8"/>
      <c r="BE370" s="8"/>
      <c r="BF370" s="8"/>
      <c r="BG370" s="8"/>
      <c r="BH370" s="8"/>
    </row>
    <row r="371" spans="2:60">
      <c r="B371" s="11"/>
      <c r="C371" s="12"/>
      <c r="D371" s="8"/>
      <c r="E371" s="13"/>
      <c r="F371" s="14"/>
      <c r="G371" s="13"/>
      <c r="H371" s="1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2">
        <v>1773</v>
      </c>
      <c r="AK371" s="118">
        <v>247</v>
      </c>
      <c r="AL371" s="119" t="s">
        <v>120</v>
      </c>
      <c r="AM371" s="119" t="s">
        <v>119</v>
      </c>
      <c r="AN371" s="119" t="s">
        <v>122</v>
      </c>
      <c r="AO371" s="119" t="s">
        <v>115</v>
      </c>
      <c r="AP371" s="119" t="s">
        <v>113</v>
      </c>
      <c r="AQ371" s="119" t="s">
        <v>118</v>
      </c>
      <c r="AR371" s="119" t="s">
        <v>116</v>
      </c>
      <c r="AS371" s="119" t="s">
        <v>123</v>
      </c>
      <c r="AT371" s="8"/>
      <c r="AU371" s="8">
        <f t="shared" si="33"/>
        <v>128</v>
      </c>
      <c r="AV371" s="8">
        <f t="shared" si="34"/>
        <v>64</v>
      </c>
      <c r="AW371" s="8">
        <f t="shared" si="35"/>
        <v>512</v>
      </c>
      <c r="AX371" s="8">
        <f t="shared" si="36"/>
        <v>4</v>
      </c>
      <c r="AY371" s="8">
        <f t="shared" si="37"/>
        <v>1</v>
      </c>
      <c r="AZ371" s="8">
        <f t="shared" si="38"/>
        <v>32</v>
      </c>
      <c r="BA371" s="8">
        <f t="shared" si="39"/>
        <v>8</v>
      </c>
      <c r="BB371" s="8">
        <f t="shared" si="40"/>
        <v>1024</v>
      </c>
      <c r="BC371" s="8">
        <f t="shared" si="41"/>
        <v>1773</v>
      </c>
      <c r="BD371" s="8"/>
      <c r="BE371" s="8"/>
      <c r="BF371" s="8"/>
      <c r="BG371" s="8"/>
      <c r="BH371" s="8"/>
    </row>
    <row r="372" spans="2:60">
      <c r="B372" s="11"/>
      <c r="C372" s="12"/>
      <c r="D372" s="8"/>
      <c r="E372" s="13"/>
      <c r="F372" s="14"/>
      <c r="G372" s="13"/>
      <c r="H372" s="15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2">
        <v>2541</v>
      </c>
      <c r="AK372" s="118">
        <v>248</v>
      </c>
      <c r="AL372" s="119" t="s">
        <v>120</v>
      </c>
      <c r="AM372" s="119" t="s">
        <v>119</v>
      </c>
      <c r="AN372" s="119" t="s">
        <v>118</v>
      </c>
      <c r="AO372" s="119" t="s">
        <v>115</v>
      </c>
      <c r="AP372" s="119" t="s">
        <v>113</v>
      </c>
      <c r="AQ372" s="119" t="s">
        <v>116</v>
      </c>
      <c r="AR372" s="119" t="s">
        <v>124</v>
      </c>
      <c r="AS372" s="119" t="s">
        <v>121</v>
      </c>
      <c r="AT372" s="8"/>
      <c r="AU372" s="8">
        <f t="shared" si="33"/>
        <v>128</v>
      </c>
      <c r="AV372" s="8">
        <f t="shared" si="34"/>
        <v>64</v>
      </c>
      <c r="AW372" s="8">
        <f t="shared" si="35"/>
        <v>32</v>
      </c>
      <c r="AX372" s="8">
        <f t="shared" si="36"/>
        <v>4</v>
      </c>
      <c r="AY372" s="8">
        <f t="shared" si="37"/>
        <v>1</v>
      </c>
      <c r="AZ372" s="8">
        <f t="shared" si="38"/>
        <v>8</v>
      </c>
      <c r="BA372" s="8">
        <f t="shared" si="39"/>
        <v>2048</v>
      </c>
      <c r="BB372" s="8">
        <f t="shared" si="40"/>
        <v>256</v>
      </c>
      <c r="BC372" s="8">
        <f t="shared" si="41"/>
        <v>2541</v>
      </c>
      <c r="BD372" s="8"/>
      <c r="BE372" s="8"/>
      <c r="BF372" s="8"/>
      <c r="BG372" s="8"/>
      <c r="BH372" s="8"/>
    </row>
    <row r="373" spans="2:60">
      <c r="B373" s="11"/>
      <c r="C373" s="12"/>
      <c r="D373" s="8"/>
      <c r="E373" s="13"/>
      <c r="F373" s="14"/>
      <c r="G373" s="13"/>
      <c r="H373" s="1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2">
        <v>1517</v>
      </c>
      <c r="AK373" s="118">
        <v>249</v>
      </c>
      <c r="AL373" s="119" t="s">
        <v>120</v>
      </c>
      <c r="AM373" s="119" t="s">
        <v>119</v>
      </c>
      <c r="AN373" s="119" t="s">
        <v>118</v>
      </c>
      <c r="AO373" s="119" t="s">
        <v>115</v>
      </c>
      <c r="AP373" s="119" t="s">
        <v>113</v>
      </c>
      <c r="AQ373" s="119" t="s">
        <v>116</v>
      </c>
      <c r="AR373" s="119" t="s">
        <v>121</v>
      </c>
      <c r="AS373" s="119" t="s">
        <v>123</v>
      </c>
      <c r="AT373" s="8"/>
      <c r="AU373" s="8">
        <f t="shared" si="33"/>
        <v>128</v>
      </c>
      <c r="AV373" s="8">
        <f t="shared" si="34"/>
        <v>64</v>
      </c>
      <c r="AW373" s="8">
        <f t="shared" si="35"/>
        <v>32</v>
      </c>
      <c r="AX373" s="8">
        <f t="shared" si="36"/>
        <v>4</v>
      </c>
      <c r="AY373" s="8">
        <f t="shared" si="37"/>
        <v>1</v>
      </c>
      <c r="AZ373" s="8">
        <f t="shared" si="38"/>
        <v>8</v>
      </c>
      <c r="BA373" s="8">
        <f t="shared" si="39"/>
        <v>256</v>
      </c>
      <c r="BB373" s="8">
        <f t="shared" si="40"/>
        <v>1024</v>
      </c>
      <c r="BC373" s="8">
        <f t="shared" si="41"/>
        <v>1517</v>
      </c>
      <c r="BD373" s="8"/>
      <c r="BE373" s="8"/>
      <c r="BF373" s="8"/>
      <c r="BG373" s="8"/>
      <c r="BH373" s="8"/>
    </row>
    <row r="374" spans="2:60">
      <c r="B374" s="11"/>
      <c r="C374" s="12"/>
      <c r="D374" s="8"/>
      <c r="E374" s="13"/>
      <c r="F374" s="14"/>
      <c r="G374" s="13"/>
      <c r="H374" s="1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2">
        <v>1005</v>
      </c>
      <c r="AK374" s="118">
        <v>250</v>
      </c>
      <c r="AL374" s="119" t="s">
        <v>120</v>
      </c>
      <c r="AM374" s="119" t="s">
        <v>119</v>
      </c>
      <c r="AN374" s="119" t="s">
        <v>122</v>
      </c>
      <c r="AO374" s="119" t="s">
        <v>115</v>
      </c>
      <c r="AP374" s="119" t="s">
        <v>113</v>
      </c>
      <c r="AQ374" s="119" t="s">
        <v>118</v>
      </c>
      <c r="AR374" s="119" t="s">
        <v>116</v>
      </c>
      <c r="AS374" s="119" t="s">
        <v>121</v>
      </c>
      <c r="AT374" s="8"/>
      <c r="AU374" s="8">
        <f t="shared" si="33"/>
        <v>128</v>
      </c>
      <c r="AV374" s="8">
        <f t="shared" si="34"/>
        <v>64</v>
      </c>
      <c r="AW374" s="8">
        <f t="shared" si="35"/>
        <v>512</v>
      </c>
      <c r="AX374" s="8">
        <f t="shared" si="36"/>
        <v>4</v>
      </c>
      <c r="AY374" s="8">
        <f t="shared" si="37"/>
        <v>1</v>
      </c>
      <c r="AZ374" s="8">
        <f t="shared" si="38"/>
        <v>32</v>
      </c>
      <c r="BA374" s="8">
        <f t="shared" si="39"/>
        <v>8</v>
      </c>
      <c r="BB374" s="8">
        <f t="shared" si="40"/>
        <v>256</v>
      </c>
      <c r="BC374" s="8">
        <f t="shared" si="41"/>
        <v>1005</v>
      </c>
      <c r="BD374" s="8"/>
      <c r="BE374" s="8"/>
      <c r="BF374" s="8"/>
      <c r="BG374" s="8"/>
      <c r="BH374" s="8"/>
    </row>
    <row r="375" spans="2:60">
      <c r="B375" s="11"/>
      <c r="C375" s="12"/>
      <c r="D375" s="8"/>
      <c r="E375" s="13"/>
      <c r="F375" s="14"/>
      <c r="G375" s="13"/>
      <c r="H375" s="1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2">
        <v>3869</v>
      </c>
      <c r="AK375" s="118">
        <v>251</v>
      </c>
      <c r="AL375" s="119" t="s">
        <v>117</v>
      </c>
      <c r="AM375" s="119" t="s">
        <v>122</v>
      </c>
      <c r="AN375" s="119" t="s">
        <v>121</v>
      </c>
      <c r="AO375" s="119" t="s">
        <v>115</v>
      </c>
      <c r="AP375" s="119" t="s">
        <v>113</v>
      </c>
      <c r="AQ375" s="119" t="s">
        <v>116</v>
      </c>
      <c r="AR375" s="119" t="s">
        <v>124</v>
      </c>
      <c r="AS375" s="119" t="s">
        <v>123</v>
      </c>
      <c r="AT375" s="8"/>
      <c r="AU375" s="8">
        <f t="shared" si="33"/>
        <v>16</v>
      </c>
      <c r="AV375" s="8">
        <f t="shared" si="34"/>
        <v>512</v>
      </c>
      <c r="AW375" s="8">
        <f t="shared" si="35"/>
        <v>256</v>
      </c>
      <c r="AX375" s="8">
        <f t="shared" si="36"/>
        <v>4</v>
      </c>
      <c r="AY375" s="8">
        <f t="shared" si="37"/>
        <v>1</v>
      </c>
      <c r="AZ375" s="8">
        <f t="shared" si="38"/>
        <v>8</v>
      </c>
      <c r="BA375" s="8">
        <f t="shared" si="39"/>
        <v>2048</v>
      </c>
      <c r="BB375" s="8">
        <f t="shared" si="40"/>
        <v>1024</v>
      </c>
      <c r="BC375" s="8">
        <f t="shared" si="41"/>
        <v>3869</v>
      </c>
      <c r="BD375" s="8"/>
      <c r="BE375" s="8"/>
      <c r="BF375" s="8"/>
      <c r="BG375" s="8"/>
      <c r="BH375" s="8"/>
    </row>
    <row r="376" spans="2:60">
      <c r="B376" s="11"/>
      <c r="C376" s="12"/>
      <c r="D376" s="8"/>
      <c r="E376" s="13"/>
      <c r="F376" s="14"/>
      <c r="G376" s="13"/>
      <c r="H376" s="15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2">
        <v>3741</v>
      </c>
      <c r="AK376" s="118">
        <v>252</v>
      </c>
      <c r="AL376" s="119" t="s">
        <v>120</v>
      </c>
      <c r="AM376" s="119" t="s">
        <v>122</v>
      </c>
      <c r="AN376" s="119" t="s">
        <v>117</v>
      </c>
      <c r="AO376" s="119" t="s">
        <v>115</v>
      </c>
      <c r="AP376" s="119" t="s">
        <v>113</v>
      </c>
      <c r="AQ376" s="119" t="s">
        <v>116</v>
      </c>
      <c r="AR376" s="119" t="s">
        <v>124</v>
      </c>
      <c r="AS376" s="119" t="s">
        <v>123</v>
      </c>
      <c r="AT376" s="8"/>
      <c r="AU376" s="8">
        <f t="shared" si="33"/>
        <v>128</v>
      </c>
      <c r="AV376" s="8">
        <f t="shared" si="34"/>
        <v>512</v>
      </c>
      <c r="AW376" s="8">
        <f t="shared" si="35"/>
        <v>16</v>
      </c>
      <c r="AX376" s="8">
        <f t="shared" si="36"/>
        <v>4</v>
      </c>
      <c r="AY376" s="8">
        <f t="shared" si="37"/>
        <v>1</v>
      </c>
      <c r="AZ376" s="8">
        <f t="shared" si="38"/>
        <v>8</v>
      </c>
      <c r="BA376" s="8">
        <f t="shared" si="39"/>
        <v>2048</v>
      </c>
      <c r="BB376" s="8">
        <f t="shared" si="40"/>
        <v>1024</v>
      </c>
      <c r="BC376" s="8">
        <f t="shared" si="41"/>
        <v>3741</v>
      </c>
      <c r="BD376" s="8"/>
      <c r="BE376" s="8"/>
      <c r="BF376" s="8"/>
      <c r="BG376" s="8"/>
      <c r="BH376" s="8"/>
    </row>
    <row r="377" spans="2:60">
      <c r="B377" s="11"/>
      <c r="C377" s="12"/>
      <c r="D377" s="8"/>
      <c r="E377" s="13"/>
      <c r="F377" s="14"/>
      <c r="G377" s="13"/>
      <c r="H377" s="1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2">
        <v>3485</v>
      </c>
      <c r="AK377" s="118">
        <v>253</v>
      </c>
      <c r="AL377" s="119" t="s">
        <v>120</v>
      </c>
      <c r="AM377" s="119" t="s">
        <v>117</v>
      </c>
      <c r="AN377" s="119" t="s">
        <v>121</v>
      </c>
      <c r="AO377" s="119" t="s">
        <v>115</v>
      </c>
      <c r="AP377" s="119" t="s">
        <v>113</v>
      </c>
      <c r="AQ377" s="119" t="s">
        <v>116</v>
      </c>
      <c r="AR377" s="119" t="s">
        <v>124</v>
      </c>
      <c r="AS377" s="119" t="s">
        <v>123</v>
      </c>
      <c r="AT377" s="8"/>
      <c r="AU377" s="8">
        <f t="shared" si="33"/>
        <v>128</v>
      </c>
      <c r="AV377" s="8">
        <f t="shared" si="34"/>
        <v>16</v>
      </c>
      <c r="AW377" s="8">
        <f t="shared" si="35"/>
        <v>256</v>
      </c>
      <c r="AX377" s="8">
        <f t="shared" si="36"/>
        <v>4</v>
      </c>
      <c r="AY377" s="8">
        <f t="shared" si="37"/>
        <v>1</v>
      </c>
      <c r="AZ377" s="8">
        <f t="shared" si="38"/>
        <v>8</v>
      </c>
      <c r="BA377" s="8">
        <f t="shared" si="39"/>
        <v>2048</v>
      </c>
      <c r="BB377" s="8">
        <f t="shared" si="40"/>
        <v>1024</v>
      </c>
      <c r="BC377" s="8">
        <f t="shared" si="41"/>
        <v>3485</v>
      </c>
      <c r="BD377" s="8"/>
      <c r="BE377" s="8"/>
      <c r="BF377" s="8"/>
      <c r="BG377" s="8"/>
      <c r="BH377" s="8"/>
    </row>
    <row r="378" spans="2:60">
      <c r="B378" s="11"/>
      <c r="C378" s="12"/>
      <c r="D378" s="8"/>
      <c r="E378" s="13"/>
      <c r="F378" s="14"/>
      <c r="G378" s="13"/>
      <c r="H378" s="1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2">
        <v>2973</v>
      </c>
      <c r="AK378" s="118">
        <v>254</v>
      </c>
      <c r="AL378" s="119" t="s">
        <v>120</v>
      </c>
      <c r="AM378" s="119" t="s">
        <v>122</v>
      </c>
      <c r="AN378" s="119" t="s">
        <v>117</v>
      </c>
      <c r="AO378" s="119" t="s">
        <v>115</v>
      </c>
      <c r="AP378" s="119" t="s">
        <v>113</v>
      </c>
      <c r="AQ378" s="119" t="s">
        <v>116</v>
      </c>
      <c r="AR378" s="119" t="s">
        <v>124</v>
      </c>
      <c r="AS378" s="119" t="s">
        <v>121</v>
      </c>
      <c r="AT378" s="8"/>
      <c r="AU378" s="8">
        <f t="shared" si="33"/>
        <v>128</v>
      </c>
      <c r="AV378" s="8">
        <f t="shared" si="34"/>
        <v>512</v>
      </c>
      <c r="AW378" s="8">
        <f t="shared" si="35"/>
        <v>16</v>
      </c>
      <c r="AX378" s="8">
        <f t="shared" si="36"/>
        <v>4</v>
      </c>
      <c r="AY378" s="8">
        <f t="shared" si="37"/>
        <v>1</v>
      </c>
      <c r="AZ378" s="8">
        <f t="shared" si="38"/>
        <v>8</v>
      </c>
      <c r="BA378" s="8">
        <f t="shared" si="39"/>
        <v>2048</v>
      </c>
      <c r="BB378" s="8">
        <f t="shared" si="40"/>
        <v>256</v>
      </c>
      <c r="BC378" s="8">
        <f t="shared" si="41"/>
        <v>2973</v>
      </c>
      <c r="BD378" s="8"/>
      <c r="BE378" s="8"/>
      <c r="BF378" s="8"/>
      <c r="BG378" s="8"/>
      <c r="BH378" s="8"/>
    </row>
    <row r="379" spans="2:60">
      <c r="B379" s="11"/>
      <c r="C379" s="12"/>
      <c r="D379" s="8"/>
      <c r="E379" s="13"/>
      <c r="F379" s="14"/>
      <c r="G379" s="13"/>
      <c r="H379" s="15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2">
        <v>1949</v>
      </c>
      <c r="AK379" s="118">
        <v>255</v>
      </c>
      <c r="AL379" s="119" t="s">
        <v>120</v>
      </c>
      <c r="AM379" s="119" t="s">
        <v>122</v>
      </c>
      <c r="AN379" s="119" t="s">
        <v>117</v>
      </c>
      <c r="AO379" s="119" t="s">
        <v>115</v>
      </c>
      <c r="AP379" s="119" t="s">
        <v>113</v>
      </c>
      <c r="AQ379" s="119" t="s">
        <v>116</v>
      </c>
      <c r="AR379" s="119" t="s">
        <v>121</v>
      </c>
      <c r="AS379" s="119" t="s">
        <v>123</v>
      </c>
      <c r="AT379" s="8"/>
      <c r="AU379" s="8">
        <f t="shared" si="33"/>
        <v>128</v>
      </c>
      <c r="AV379" s="8">
        <f t="shared" si="34"/>
        <v>512</v>
      </c>
      <c r="AW379" s="8">
        <f t="shared" si="35"/>
        <v>16</v>
      </c>
      <c r="AX379" s="8">
        <f t="shared" si="36"/>
        <v>4</v>
      </c>
      <c r="AY379" s="8">
        <f t="shared" si="37"/>
        <v>1</v>
      </c>
      <c r="AZ379" s="8">
        <f t="shared" si="38"/>
        <v>8</v>
      </c>
      <c r="BA379" s="8">
        <f t="shared" si="39"/>
        <v>256</v>
      </c>
      <c r="BB379" s="8">
        <f t="shared" si="40"/>
        <v>1024</v>
      </c>
      <c r="BC379" s="8">
        <f t="shared" si="41"/>
        <v>1949</v>
      </c>
      <c r="BD379" s="8"/>
      <c r="BE379" s="8"/>
      <c r="BF379" s="8"/>
      <c r="BG379" s="8"/>
      <c r="BH379" s="8"/>
    </row>
    <row r="380" spans="2:60">
      <c r="B380" s="11"/>
      <c r="C380" s="12"/>
      <c r="D380" s="8"/>
      <c r="E380" s="13"/>
      <c r="F380" s="14"/>
      <c r="G380" s="13"/>
      <c r="H380" s="1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2">
        <v>3677</v>
      </c>
      <c r="AK380" s="118">
        <v>256</v>
      </c>
      <c r="AL380" s="119" t="s">
        <v>117</v>
      </c>
      <c r="AM380" s="119" t="s">
        <v>119</v>
      </c>
      <c r="AN380" s="119" t="s">
        <v>122</v>
      </c>
      <c r="AO380" s="119" t="s">
        <v>115</v>
      </c>
      <c r="AP380" s="119" t="s">
        <v>113</v>
      </c>
      <c r="AQ380" s="119" t="s">
        <v>116</v>
      </c>
      <c r="AR380" s="119" t="s">
        <v>124</v>
      </c>
      <c r="AS380" s="119" t="s">
        <v>123</v>
      </c>
      <c r="AT380" s="8"/>
      <c r="AU380" s="8">
        <f t="shared" si="33"/>
        <v>16</v>
      </c>
      <c r="AV380" s="8">
        <f t="shared" si="34"/>
        <v>64</v>
      </c>
      <c r="AW380" s="8">
        <f t="shared" si="35"/>
        <v>512</v>
      </c>
      <c r="AX380" s="8">
        <f t="shared" si="36"/>
        <v>4</v>
      </c>
      <c r="AY380" s="8">
        <f t="shared" si="37"/>
        <v>1</v>
      </c>
      <c r="AZ380" s="8">
        <f t="shared" si="38"/>
        <v>8</v>
      </c>
      <c r="BA380" s="8">
        <f t="shared" si="39"/>
        <v>2048</v>
      </c>
      <c r="BB380" s="8">
        <f t="shared" si="40"/>
        <v>1024</v>
      </c>
      <c r="BC380" s="8">
        <f t="shared" si="41"/>
        <v>3677</v>
      </c>
      <c r="BD380" s="8"/>
      <c r="BE380" s="8"/>
      <c r="BF380" s="8"/>
      <c r="BG380" s="8"/>
      <c r="BH380" s="8"/>
    </row>
    <row r="381" spans="2:60">
      <c r="B381" s="11"/>
      <c r="C381" s="12"/>
      <c r="D381" s="8"/>
      <c r="E381" s="13"/>
      <c r="F381" s="14"/>
      <c r="G381" s="13"/>
      <c r="H381" s="1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2">
        <v>3421</v>
      </c>
      <c r="AK381" s="118">
        <v>257</v>
      </c>
      <c r="AL381" s="119" t="s">
        <v>117</v>
      </c>
      <c r="AM381" s="119" t="s">
        <v>119</v>
      </c>
      <c r="AN381" s="119" t="s">
        <v>121</v>
      </c>
      <c r="AO381" s="119" t="s">
        <v>115</v>
      </c>
      <c r="AP381" s="119" t="s">
        <v>113</v>
      </c>
      <c r="AQ381" s="119" t="s">
        <v>116</v>
      </c>
      <c r="AR381" s="119" t="s">
        <v>124</v>
      </c>
      <c r="AS381" s="119" t="s">
        <v>123</v>
      </c>
      <c r="AT381" s="8"/>
      <c r="AU381" s="8">
        <f t="shared" ref="AU381:AU444" si="42">+VLOOKUP(AL381,$Q$105:$R$116,2)</f>
        <v>16</v>
      </c>
      <c r="AV381" s="8">
        <f t="shared" ref="AV381:AV444" si="43">+VLOOKUP(AM381,$Q$105:$R$116,2)</f>
        <v>64</v>
      </c>
      <c r="AW381" s="8">
        <f t="shared" ref="AW381:AW444" si="44">+VLOOKUP(AN381,$Q$105:$R$116,2)</f>
        <v>256</v>
      </c>
      <c r="AX381" s="8">
        <f t="shared" ref="AX381:AX444" si="45">+VLOOKUP(AO381,$Q$105:$R$116,2)</f>
        <v>4</v>
      </c>
      <c r="AY381" s="8">
        <f t="shared" ref="AY381:AY444" si="46">+VLOOKUP(AP381,$Q$105:$R$116,2)</f>
        <v>1</v>
      </c>
      <c r="AZ381" s="8">
        <f t="shared" ref="AZ381:AZ444" si="47">+VLOOKUP(AQ381,$Q$105:$R$116,2)</f>
        <v>8</v>
      </c>
      <c r="BA381" s="8">
        <f t="shared" ref="BA381:BA444" si="48">+VLOOKUP(AR381,$Q$105:$R$116,2)</f>
        <v>2048</v>
      </c>
      <c r="BB381" s="8">
        <f t="shared" ref="BB381:BB444" si="49">+VLOOKUP(AS381,$Q$105:$R$116,2)</f>
        <v>1024</v>
      </c>
      <c r="BC381" s="8">
        <f t="shared" ref="BC381:BC444" si="50">+SUM(AU381:BB381)</f>
        <v>3421</v>
      </c>
      <c r="BD381" s="8"/>
      <c r="BE381" s="8"/>
      <c r="BF381" s="8"/>
      <c r="BG381" s="8"/>
      <c r="BH381" s="8"/>
    </row>
    <row r="382" spans="2:60">
      <c r="B382" s="11"/>
      <c r="C382" s="12"/>
      <c r="D382" s="8"/>
      <c r="E382" s="13"/>
      <c r="F382" s="14"/>
      <c r="G382" s="13"/>
      <c r="H382" s="1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2">
        <v>2909</v>
      </c>
      <c r="AK382" s="118">
        <v>258</v>
      </c>
      <c r="AL382" s="119" t="s">
        <v>117</v>
      </c>
      <c r="AM382" s="119" t="s">
        <v>119</v>
      </c>
      <c r="AN382" s="119" t="s">
        <v>122</v>
      </c>
      <c r="AO382" s="119" t="s">
        <v>115</v>
      </c>
      <c r="AP382" s="119" t="s">
        <v>113</v>
      </c>
      <c r="AQ382" s="119" t="s">
        <v>116</v>
      </c>
      <c r="AR382" s="119" t="s">
        <v>124</v>
      </c>
      <c r="AS382" s="119" t="s">
        <v>121</v>
      </c>
      <c r="AT382" s="8"/>
      <c r="AU382" s="8">
        <f t="shared" si="42"/>
        <v>16</v>
      </c>
      <c r="AV382" s="8">
        <f t="shared" si="43"/>
        <v>64</v>
      </c>
      <c r="AW382" s="8">
        <f t="shared" si="44"/>
        <v>512</v>
      </c>
      <c r="AX382" s="8">
        <f t="shared" si="45"/>
        <v>4</v>
      </c>
      <c r="AY382" s="8">
        <f t="shared" si="46"/>
        <v>1</v>
      </c>
      <c r="AZ382" s="8">
        <f t="shared" si="47"/>
        <v>8</v>
      </c>
      <c r="BA382" s="8">
        <f t="shared" si="48"/>
        <v>2048</v>
      </c>
      <c r="BB382" s="8">
        <f t="shared" si="49"/>
        <v>256</v>
      </c>
      <c r="BC382" s="8">
        <f t="shared" si="50"/>
        <v>2909</v>
      </c>
      <c r="BD382" s="8"/>
      <c r="BE382" s="8"/>
      <c r="BF382" s="8"/>
      <c r="BG382" s="8"/>
      <c r="BH382" s="8"/>
    </row>
    <row r="383" spans="2:60">
      <c r="B383" s="11"/>
      <c r="C383" s="12"/>
      <c r="D383" s="8"/>
      <c r="E383" s="13"/>
      <c r="F383" s="14"/>
      <c r="G383" s="13"/>
      <c r="H383" s="15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2">
        <v>1885</v>
      </c>
      <c r="AK383" s="118">
        <v>259</v>
      </c>
      <c r="AL383" s="119" t="s">
        <v>117</v>
      </c>
      <c r="AM383" s="119" t="s">
        <v>119</v>
      </c>
      <c r="AN383" s="119" t="s">
        <v>122</v>
      </c>
      <c r="AO383" s="119" t="s">
        <v>115</v>
      </c>
      <c r="AP383" s="119" t="s">
        <v>113</v>
      </c>
      <c r="AQ383" s="119" t="s">
        <v>116</v>
      </c>
      <c r="AR383" s="119" t="s">
        <v>121</v>
      </c>
      <c r="AS383" s="119" t="s">
        <v>123</v>
      </c>
      <c r="AT383" s="8"/>
      <c r="AU383" s="8">
        <f t="shared" si="42"/>
        <v>16</v>
      </c>
      <c r="AV383" s="8">
        <f t="shared" si="43"/>
        <v>64</v>
      </c>
      <c r="AW383" s="8">
        <f t="shared" si="44"/>
        <v>512</v>
      </c>
      <c r="AX383" s="8">
        <f t="shared" si="45"/>
        <v>4</v>
      </c>
      <c r="AY383" s="8">
        <f t="shared" si="46"/>
        <v>1</v>
      </c>
      <c r="AZ383" s="8">
        <f t="shared" si="47"/>
        <v>8</v>
      </c>
      <c r="BA383" s="8">
        <f t="shared" si="48"/>
        <v>256</v>
      </c>
      <c r="BB383" s="8">
        <f t="shared" si="49"/>
        <v>1024</v>
      </c>
      <c r="BC383" s="8">
        <f t="shared" si="50"/>
        <v>1885</v>
      </c>
      <c r="BD383" s="8"/>
      <c r="BE383" s="8"/>
      <c r="BF383" s="8"/>
      <c r="BG383" s="8"/>
      <c r="BH383" s="8"/>
    </row>
    <row r="384" spans="2:60">
      <c r="B384" s="11"/>
      <c r="C384" s="12"/>
      <c r="D384" s="8"/>
      <c r="E384" s="13"/>
      <c r="F384" s="14"/>
      <c r="G384" s="13"/>
      <c r="H384" s="1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2">
        <v>3293</v>
      </c>
      <c r="AK384" s="118">
        <v>260</v>
      </c>
      <c r="AL384" s="119" t="s">
        <v>120</v>
      </c>
      <c r="AM384" s="119" t="s">
        <v>119</v>
      </c>
      <c r="AN384" s="119" t="s">
        <v>117</v>
      </c>
      <c r="AO384" s="119" t="s">
        <v>115</v>
      </c>
      <c r="AP384" s="119" t="s">
        <v>113</v>
      </c>
      <c r="AQ384" s="119" t="s">
        <v>116</v>
      </c>
      <c r="AR384" s="119" t="s">
        <v>124</v>
      </c>
      <c r="AS384" s="119" t="s">
        <v>123</v>
      </c>
      <c r="AT384" s="8"/>
      <c r="AU384" s="8">
        <f t="shared" si="42"/>
        <v>128</v>
      </c>
      <c r="AV384" s="8">
        <f t="shared" si="43"/>
        <v>64</v>
      </c>
      <c r="AW384" s="8">
        <f t="shared" si="44"/>
        <v>16</v>
      </c>
      <c r="AX384" s="8">
        <f t="shared" si="45"/>
        <v>4</v>
      </c>
      <c r="AY384" s="8">
        <f t="shared" si="46"/>
        <v>1</v>
      </c>
      <c r="AZ384" s="8">
        <f t="shared" si="47"/>
        <v>8</v>
      </c>
      <c r="BA384" s="8">
        <f t="shared" si="48"/>
        <v>2048</v>
      </c>
      <c r="BB384" s="8">
        <f t="shared" si="49"/>
        <v>1024</v>
      </c>
      <c r="BC384" s="8">
        <f t="shared" si="50"/>
        <v>3293</v>
      </c>
      <c r="BD384" s="8"/>
      <c r="BE384" s="8"/>
      <c r="BF384" s="8"/>
      <c r="BG384" s="8"/>
      <c r="BH384" s="8"/>
    </row>
    <row r="385" spans="2:60">
      <c r="B385" s="11"/>
      <c r="C385" s="12"/>
      <c r="D385" s="8"/>
      <c r="E385" s="13"/>
      <c r="F385" s="14"/>
      <c r="G385" s="13"/>
      <c r="H385" s="1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2">
        <v>2781</v>
      </c>
      <c r="AK385" s="118">
        <v>261</v>
      </c>
      <c r="AL385" s="119" t="s">
        <v>120</v>
      </c>
      <c r="AM385" s="119" t="s">
        <v>119</v>
      </c>
      <c r="AN385" s="119" t="s">
        <v>122</v>
      </c>
      <c r="AO385" s="119" t="s">
        <v>115</v>
      </c>
      <c r="AP385" s="119" t="s">
        <v>113</v>
      </c>
      <c r="AQ385" s="119" t="s">
        <v>116</v>
      </c>
      <c r="AR385" s="119" t="s">
        <v>124</v>
      </c>
      <c r="AS385" s="119" t="s">
        <v>117</v>
      </c>
      <c r="AT385" s="8"/>
      <c r="AU385" s="8">
        <f t="shared" si="42"/>
        <v>128</v>
      </c>
      <c r="AV385" s="8">
        <f t="shared" si="43"/>
        <v>64</v>
      </c>
      <c r="AW385" s="8">
        <f t="shared" si="44"/>
        <v>512</v>
      </c>
      <c r="AX385" s="8">
        <f t="shared" si="45"/>
        <v>4</v>
      </c>
      <c r="AY385" s="8">
        <f t="shared" si="46"/>
        <v>1</v>
      </c>
      <c r="AZ385" s="8">
        <f t="shared" si="47"/>
        <v>8</v>
      </c>
      <c r="BA385" s="8">
        <f t="shared" si="48"/>
        <v>2048</v>
      </c>
      <c r="BB385" s="8">
        <f t="shared" si="49"/>
        <v>16</v>
      </c>
      <c r="BC385" s="8">
        <f t="shared" si="50"/>
        <v>2781</v>
      </c>
      <c r="BD385" s="8"/>
      <c r="BE385" s="8"/>
      <c r="BF385" s="8"/>
      <c r="BG385" s="8"/>
      <c r="BH385" s="8"/>
    </row>
    <row r="386" spans="2:60">
      <c r="B386" s="11"/>
      <c r="C386" s="12"/>
      <c r="D386" s="8"/>
      <c r="E386" s="13"/>
      <c r="F386" s="14"/>
      <c r="G386" s="13"/>
      <c r="H386" s="1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2">
        <v>1757</v>
      </c>
      <c r="AK386" s="118">
        <v>262</v>
      </c>
      <c r="AL386" s="119" t="s">
        <v>120</v>
      </c>
      <c r="AM386" s="119" t="s">
        <v>119</v>
      </c>
      <c r="AN386" s="119" t="s">
        <v>122</v>
      </c>
      <c r="AO386" s="119" t="s">
        <v>115</v>
      </c>
      <c r="AP386" s="119" t="s">
        <v>113</v>
      </c>
      <c r="AQ386" s="119" t="s">
        <v>116</v>
      </c>
      <c r="AR386" s="119" t="s">
        <v>117</v>
      </c>
      <c r="AS386" s="119" t="s">
        <v>123</v>
      </c>
      <c r="AT386" s="8"/>
      <c r="AU386" s="8">
        <f t="shared" si="42"/>
        <v>128</v>
      </c>
      <c r="AV386" s="8">
        <f t="shared" si="43"/>
        <v>64</v>
      </c>
      <c r="AW386" s="8">
        <f t="shared" si="44"/>
        <v>512</v>
      </c>
      <c r="AX386" s="8">
        <f t="shared" si="45"/>
        <v>4</v>
      </c>
      <c r="AY386" s="8">
        <f t="shared" si="46"/>
        <v>1</v>
      </c>
      <c r="AZ386" s="8">
        <f t="shared" si="47"/>
        <v>8</v>
      </c>
      <c r="BA386" s="8">
        <f t="shared" si="48"/>
        <v>16</v>
      </c>
      <c r="BB386" s="8">
        <f t="shared" si="49"/>
        <v>1024</v>
      </c>
      <c r="BC386" s="8">
        <f t="shared" si="50"/>
        <v>1757</v>
      </c>
      <c r="BD386" s="8"/>
      <c r="BE386" s="8"/>
      <c r="BF386" s="8"/>
      <c r="BG386" s="8"/>
      <c r="BH386" s="8"/>
    </row>
    <row r="387" spans="2:60">
      <c r="B387" s="11"/>
      <c r="C387" s="12"/>
      <c r="D387" s="8"/>
      <c r="E387" s="13"/>
      <c r="F387" s="14"/>
      <c r="G387" s="13"/>
      <c r="H387" s="15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2">
        <v>2525</v>
      </c>
      <c r="AK387" s="118">
        <v>263</v>
      </c>
      <c r="AL387" s="119" t="s">
        <v>120</v>
      </c>
      <c r="AM387" s="119" t="s">
        <v>119</v>
      </c>
      <c r="AN387" s="119" t="s">
        <v>117</v>
      </c>
      <c r="AO387" s="119" t="s">
        <v>115</v>
      </c>
      <c r="AP387" s="119" t="s">
        <v>113</v>
      </c>
      <c r="AQ387" s="119" t="s">
        <v>116</v>
      </c>
      <c r="AR387" s="119" t="s">
        <v>124</v>
      </c>
      <c r="AS387" s="119" t="s">
        <v>121</v>
      </c>
      <c r="AT387" s="8"/>
      <c r="AU387" s="8">
        <f t="shared" si="42"/>
        <v>128</v>
      </c>
      <c r="AV387" s="8">
        <f t="shared" si="43"/>
        <v>64</v>
      </c>
      <c r="AW387" s="8">
        <f t="shared" si="44"/>
        <v>16</v>
      </c>
      <c r="AX387" s="8">
        <f t="shared" si="45"/>
        <v>4</v>
      </c>
      <c r="AY387" s="8">
        <f t="shared" si="46"/>
        <v>1</v>
      </c>
      <c r="AZ387" s="8">
        <f t="shared" si="47"/>
        <v>8</v>
      </c>
      <c r="BA387" s="8">
        <f t="shared" si="48"/>
        <v>2048</v>
      </c>
      <c r="BB387" s="8">
        <f t="shared" si="49"/>
        <v>256</v>
      </c>
      <c r="BC387" s="8">
        <f t="shared" si="50"/>
        <v>2525</v>
      </c>
      <c r="BD387" s="8"/>
      <c r="BE387" s="8"/>
      <c r="BF387" s="8"/>
      <c r="BG387" s="8"/>
      <c r="BH387" s="8"/>
    </row>
    <row r="388" spans="2:60">
      <c r="B388" s="11"/>
      <c r="C388" s="12"/>
      <c r="D388" s="8"/>
      <c r="E388" s="13"/>
      <c r="F388" s="14"/>
      <c r="G388" s="13"/>
      <c r="H388" s="1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2">
        <v>1501</v>
      </c>
      <c r="AK388" s="118">
        <v>264</v>
      </c>
      <c r="AL388" s="119" t="s">
        <v>120</v>
      </c>
      <c r="AM388" s="119" t="s">
        <v>119</v>
      </c>
      <c r="AN388" s="119" t="s">
        <v>117</v>
      </c>
      <c r="AO388" s="119" t="s">
        <v>115</v>
      </c>
      <c r="AP388" s="119" t="s">
        <v>113</v>
      </c>
      <c r="AQ388" s="119" t="s">
        <v>116</v>
      </c>
      <c r="AR388" s="119" t="s">
        <v>121</v>
      </c>
      <c r="AS388" s="119" t="s">
        <v>123</v>
      </c>
      <c r="AT388" s="8"/>
      <c r="AU388" s="8">
        <f t="shared" si="42"/>
        <v>128</v>
      </c>
      <c r="AV388" s="8">
        <f t="shared" si="43"/>
        <v>64</v>
      </c>
      <c r="AW388" s="8">
        <f t="shared" si="44"/>
        <v>16</v>
      </c>
      <c r="AX388" s="8">
        <f t="shared" si="45"/>
        <v>4</v>
      </c>
      <c r="AY388" s="8">
        <f t="shared" si="46"/>
        <v>1</v>
      </c>
      <c r="AZ388" s="8">
        <f t="shared" si="47"/>
        <v>8</v>
      </c>
      <c r="BA388" s="8">
        <f t="shared" si="48"/>
        <v>256</v>
      </c>
      <c r="BB388" s="8">
        <f t="shared" si="49"/>
        <v>1024</v>
      </c>
      <c r="BC388" s="8">
        <f t="shared" si="50"/>
        <v>1501</v>
      </c>
      <c r="BD388" s="8"/>
      <c r="BE388" s="8"/>
      <c r="BF388" s="8"/>
      <c r="BG388" s="8"/>
      <c r="BH388" s="8"/>
    </row>
    <row r="389" spans="2:60">
      <c r="B389" s="11"/>
      <c r="C389" s="12"/>
      <c r="D389" s="8"/>
      <c r="E389" s="13"/>
      <c r="F389" s="14"/>
      <c r="G389" s="13"/>
      <c r="H389" s="1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2">
        <v>989</v>
      </c>
      <c r="AK389" s="118">
        <v>265</v>
      </c>
      <c r="AL389" s="119" t="s">
        <v>120</v>
      </c>
      <c r="AM389" s="119" t="s">
        <v>119</v>
      </c>
      <c r="AN389" s="119" t="s">
        <v>122</v>
      </c>
      <c r="AO389" s="119" t="s">
        <v>115</v>
      </c>
      <c r="AP389" s="119" t="s">
        <v>113</v>
      </c>
      <c r="AQ389" s="119" t="s">
        <v>116</v>
      </c>
      <c r="AR389" s="119" t="s">
        <v>117</v>
      </c>
      <c r="AS389" s="119" t="s">
        <v>121</v>
      </c>
      <c r="AT389" s="8"/>
      <c r="AU389" s="8">
        <f t="shared" si="42"/>
        <v>128</v>
      </c>
      <c r="AV389" s="8">
        <f t="shared" si="43"/>
        <v>64</v>
      </c>
      <c r="AW389" s="8">
        <f t="shared" si="44"/>
        <v>512</v>
      </c>
      <c r="AX389" s="8">
        <f t="shared" si="45"/>
        <v>4</v>
      </c>
      <c r="AY389" s="8">
        <f t="shared" si="46"/>
        <v>1</v>
      </c>
      <c r="AZ389" s="8">
        <f t="shared" si="47"/>
        <v>8</v>
      </c>
      <c r="BA389" s="8">
        <f t="shared" si="48"/>
        <v>16</v>
      </c>
      <c r="BB389" s="8">
        <f t="shared" si="49"/>
        <v>256</v>
      </c>
      <c r="BC389" s="8">
        <f t="shared" si="50"/>
        <v>989</v>
      </c>
      <c r="BD389" s="8"/>
      <c r="BE389" s="8"/>
      <c r="BF389" s="8"/>
      <c r="BG389" s="8"/>
      <c r="BH389" s="8"/>
    </row>
    <row r="390" spans="2:60">
      <c r="B390" s="11"/>
      <c r="C390" s="12"/>
      <c r="D390" s="8"/>
      <c r="E390" s="13"/>
      <c r="F390" s="14"/>
      <c r="G390" s="13"/>
      <c r="H390" s="1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2">
        <v>3645</v>
      </c>
      <c r="AK390" s="118">
        <v>266</v>
      </c>
      <c r="AL390" s="119" t="s">
        <v>115</v>
      </c>
      <c r="AM390" s="119" t="s">
        <v>122</v>
      </c>
      <c r="AN390" s="119" t="s">
        <v>117</v>
      </c>
      <c r="AO390" s="119" t="s">
        <v>116</v>
      </c>
      <c r="AP390" s="119" t="s">
        <v>113</v>
      </c>
      <c r="AQ390" s="119" t="s">
        <v>118</v>
      </c>
      <c r="AR390" s="119" t="s">
        <v>124</v>
      </c>
      <c r="AS390" s="119" t="s">
        <v>123</v>
      </c>
      <c r="AT390" s="8"/>
      <c r="AU390" s="8">
        <f t="shared" si="42"/>
        <v>4</v>
      </c>
      <c r="AV390" s="8">
        <f t="shared" si="43"/>
        <v>512</v>
      </c>
      <c r="AW390" s="8">
        <f t="shared" si="44"/>
        <v>16</v>
      </c>
      <c r="AX390" s="8">
        <f t="shared" si="45"/>
        <v>8</v>
      </c>
      <c r="AY390" s="8">
        <f t="shared" si="46"/>
        <v>1</v>
      </c>
      <c r="AZ390" s="8">
        <f t="shared" si="47"/>
        <v>32</v>
      </c>
      <c r="BA390" s="8">
        <f t="shared" si="48"/>
        <v>2048</v>
      </c>
      <c r="BB390" s="8">
        <f t="shared" si="49"/>
        <v>1024</v>
      </c>
      <c r="BC390" s="8">
        <f t="shared" si="50"/>
        <v>3645</v>
      </c>
      <c r="BD390" s="8"/>
      <c r="BE390" s="8"/>
      <c r="BF390" s="8"/>
      <c r="BG390" s="8"/>
      <c r="BH390" s="8"/>
    </row>
    <row r="391" spans="2:60">
      <c r="B391" s="11"/>
      <c r="C391" s="12"/>
      <c r="D391" s="8"/>
      <c r="E391" s="13"/>
      <c r="F391" s="14"/>
      <c r="G391" s="13"/>
      <c r="H391" s="1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2">
        <v>3389</v>
      </c>
      <c r="AK391" s="118">
        <v>267</v>
      </c>
      <c r="AL391" s="119" t="s">
        <v>115</v>
      </c>
      <c r="AM391" s="119" t="s">
        <v>117</v>
      </c>
      <c r="AN391" s="119" t="s">
        <v>121</v>
      </c>
      <c r="AO391" s="119" t="s">
        <v>116</v>
      </c>
      <c r="AP391" s="119" t="s">
        <v>113</v>
      </c>
      <c r="AQ391" s="119" t="s">
        <v>118</v>
      </c>
      <c r="AR391" s="119" t="s">
        <v>124</v>
      </c>
      <c r="AS391" s="119" t="s">
        <v>123</v>
      </c>
      <c r="AT391" s="8"/>
      <c r="AU391" s="8">
        <f t="shared" si="42"/>
        <v>4</v>
      </c>
      <c r="AV391" s="8">
        <f t="shared" si="43"/>
        <v>16</v>
      </c>
      <c r="AW391" s="8">
        <f t="shared" si="44"/>
        <v>256</v>
      </c>
      <c r="AX391" s="8">
        <f t="shared" si="45"/>
        <v>8</v>
      </c>
      <c r="AY391" s="8">
        <f t="shared" si="46"/>
        <v>1</v>
      </c>
      <c r="AZ391" s="8">
        <f t="shared" si="47"/>
        <v>32</v>
      </c>
      <c r="BA391" s="8">
        <f t="shared" si="48"/>
        <v>2048</v>
      </c>
      <c r="BB391" s="8">
        <f t="shared" si="49"/>
        <v>1024</v>
      </c>
      <c r="BC391" s="8">
        <f t="shared" si="50"/>
        <v>3389</v>
      </c>
      <c r="BD391" s="8"/>
      <c r="BE391" s="8"/>
      <c r="BF391" s="8"/>
      <c r="BG391" s="8"/>
      <c r="BH391" s="8"/>
    </row>
    <row r="392" spans="2:60">
      <c r="B392" s="11"/>
      <c r="C392" s="12"/>
      <c r="D392" s="8"/>
      <c r="E392" s="13"/>
      <c r="F392" s="14"/>
      <c r="G392" s="13"/>
      <c r="H392" s="1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2">
        <v>2877</v>
      </c>
      <c r="AK392" s="118">
        <v>268</v>
      </c>
      <c r="AL392" s="119" t="s">
        <v>115</v>
      </c>
      <c r="AM392" s="119" t="s">
        <v>122</v>
      </c>
      <c r="AN392" s="119" t="s">
        <v>117</v>
      </c>
      <c r="AO392" s="119" t="s">
        <v>116</v>
      </c>
      <c r="AP392" s="119" t="s">
        <v>113</v>
      </c>
      <c r="AQ392" s="119" t="s">
        <v>118</v>
      </c>
      <c r="AR392" s="119" t="s">
        <v>124</v>
      </c>
      <c r="AS392" s="119" t="s">
        <v>121</v>
      </c>
      <c r="AT392" s="8"/>
      <c r="AU392" s="8">
        <f t="shared" si="42"/>
        <v>4</v>
      </c>
      <c r="AV392" s="8">
        <f t="shared" si="43"/>
        <v>512</v>
      </c>
      <c r="AW392" s="8">
        <f t="shared" si="44"/>
        <v>16</v>
      </c>
      <c r="AX392" s="8">
        <f t="shared" si="45"/>
        <v>8</v>
      </c>
      <c r="AY392" s="8">
        <f t="shared" si="46"/>
        <v>1</v>
      </c>
      <c r="AZ392" s="8">
        <f t="shared" si="47"/>
        <v>32</v>
      </c>
      <c r="BA392" s="8">
        <f t="shared" si="48"/>
        <v>2048</v>
      </c>
      <c r="BB392" s="8">
        <f t="shared" si="49"/>
        <v>256</v>
      </c>
      <c r="BC392" s="8">
        <f t="shared" si="50"/>
        <v>2877</v>
      </c>
      <c r="BD392" s="8"/>
      <c r="BE392" s="8"/>
      <c r="BF392" s="8"/>
      <c r="BG392" s="8"/>
      <c r="BH392" s="8"/>
    </row>
    <row r="393" spans="2:60">
      <c r="B393" s="11"/>
      <c r="C393" s="12"/>
      <c r="D393" s="8"/>
      <c r="E393" s="13"/>
      <c r="F393" s="14"/>
      <c r="G393" s="13"/>
      <c r="H393" s="1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2">
        <v>1853</v>
      </c>
      <c r="AK393" s="118">
        <v>269</v>
      </c>
      <c r="AL393" s="119" t="s">
        <v>115</v>
      </c>
      <c r="AM393" s="119" t="s">
        <v>122</v>
      </c>
      <c r="AN393" s="119" t="s">
        <v>117</v>
      </c>
      <c r="AO393" s="119" t="s">
        <v>116</v>
      </c>
      <c r="AP393" s="119" t="s">
        <v>113</v>
      </c>
      <c r="AQ393" s="119" t="s">
        <v>118</v>
      </c>
      <c r="AR393" s="119" t="s">
        <v>121</v>
      </c>
      <c r="AS393" s="119" t="s">
        <v>123</v>
      </c>
      <c r="AT393" s="8"/>
      <c r="AU393" s="8">
        <f t="shared" si="42"/>
        <v>4</v>
      </c>
      <c r="AV393" s="8">
        <f t="shared" si="43"/>
        <v>512</v>
      </c>
      <c r="AW393" s="8">
        <f t="shared" si="44"/>
        <v>16</v>
      </c>
      <c r="AX393" s="8">
        <f t="shared" si="45"/>
        <v>8</v>
      </c>
      <c r="AY393" s="8">
        <f t="shared" si="46"/>
        <v>1</v>
      </c>
      <c r="AZ393" s="8">
        <f t="shared" si="47"/>
        <v>32</v>
      </c>
      <c r="BA393" s="8">
        <f t="shared" si="48"/>
        <v>256</v>
      </c>
      <c r="BB393" s="8">
        <f t="shared" si="49"/>
        <v>1024</v>
      </c>
      <c r="BC393" s="8">
        <f t="shared" si="50"/>
        <v>1853</v>
      </c>
      <c r="BD393" s="8"/>
      <c r="BE393" s="8"/>
      <c r="BF393" s="8"/>
      <c r="BG393" s="8"/>
      <c r="BH393" s="8"/>
    </row>
    <row r="394" spans="2:60">
      <c r="B394" s="11"/>
      <c r="C394" s="12"/>
      <c r="D394" s="8"/>
      <c r="E394" s="13"/>
      <c r="F394" s="14"/>
      <c r="G394" s="13"/>
      <c r="H394" s="1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2">
        <v>3261</v>
      </c>
      <c r="AK394" s="118">
        <v>270</v>
      </c>
      <c r="AL394" s="119" t="s">
        <v>120</v>
      </c>
      <c r="AM394" s="119" t="s">
        <v>117</v>
      </c>
      <c r="AN394" s="119" t="s">
        <v>118</v>
      </c>
      <c r="AO394" s="119" t="s">
        <v>115</v>
      </c>
      <c r="AP394" s="119" t="s">
        <v>113</v>
      </c>
      <c r="AQ394" s="119" t="s">
        <v>116</v>
      </c>
      <c r="AR394" s="119" t="s">
        <v>124</v>
      </c>
      <c r="AS394" s="119" t="s">
        <v>123</v>
      </c>
      <c r="AT394" s="8"/>
      <c r="AU394" s="8">
        <f t="shared" si="42"/>
        <v>128</v>
      </c>
      <c r="AV394" s="8">
        <f t="shared" si="43"/>
        <v>16</v>
      </c>
      <c r="AW394" s="8">
        <f t="shared" si="44"/>
        <v>32</v>
      </c>
      <c r="AX394" s="8">
        <f t="shared" si="45"/>
        <v>4</v>
      </c>
      <c r="AY394" s="8">
        <f t="shared" si="46"/>
        <v>1</v>
      </c>
      <c r="AZ394" s="8">
        <f t="shared" si="47"/>
        <v>8</v>
      </c>
      <c r="BA394" s="8">
        <f t="shared" si="48"/>
        <v>2048</v>
      </c>
      <c r="BB394" s="8">
        <f t="shared" si="49"/>
        <v>1024</v>
      </c>
      <c r="BC394" s="8">
        <f t="shared" si="50"/>
        <v>3261</v>
      </c>
      <c r="BD394" s="8"/>
      <c r="BE394" s="8"/>
      <c r="BF394" s="8"/>
      <c r="BG394" s="8"/>
      <c r="BH394" s="8"/>
    </row>
    <row r="395" spans="2:60">
      <c r="B395" s="11"/>
      <c r="C395" s="12"/>
      <c r="D395" s="8"/>
      <c r="E395" s="13"/>
      <c r="F395" s="14"/>
      <c r="G395" s="13"/>
      <c r="H395" s="15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2">
        <v>2749</v>
      </c>
      <c r="AK395" s="118">
        <v>271</v>
      </c>
      <c r="AL395" s="119" t="s">
        <v>120</v>
      </c>
      <c r="AM395" s="119" t="s">
        <v>122</v>
      </c>
      <c r="AN395" s="119" t="s">
        <v>118</v>
      </c>
      <c r="AO395" s="119" t="s">
        <v>115</v>
      </c>
      <c r="AP395" s="119" t="s">
        <v>113</v>
      </c>
      <c r="AQ395" s="119" t="s">
        <v>116</v>
      </c>
      <c r="AR395" s="119" t="s">
        <v>124</v>
      </c>
      <c r="AS395" s="119" t="s">
        <v>117</v>
      </c>
      <c r="AT395" s="8"/>
      <c r="AU395" s="8">
        <f t="shared" si="42"/>
        <v>128</v>
      </c>
      <c r="AV395" s="8">
        <f t="shared" si="43"/>
        <v>512</v>
      </c>
      <c r="AW395" s="8">
        <f t="shared" si="44"/>
        <v>32</v>
      </c>
      <c r="AX395" s="8">
        <f t="shared" si="45"/>
        <v>4</v>
      </c>
      <c r="AY395" s="8">
        <f t="shared" si="46"/>
        <v>1</v>
      </c>
      <c r="AZ395" s="8">
        <f t="shared" si="47"/>
        <v>8</v>
      </c>
      <c r="BA395" s="8">
        <f t="shared" si="48"/>
        <v>2048</v>
      </c>
      <c r="BB395" s="8">
        <f t="shared" si="49"/>
        <v>16</v>
      </c>
      <c r="BC395" s="8">
        <f t="shared" si="50"/>
        <v>2749</v>
      </c>
      <c r="BD395" s="8"/>
      <c r="BE395" s="8"/>
      <c r="BF395" s="8"/>
      <c r="BG395" s="8"/>
      <c r="BH395" s="8"/>
    </row>
    <row r="396" spans="2:60">
      <c r="B396" s="11"/>
      <c r="C396" s="12"/>
      <c r="D396" s="8"/>
      <c r="E396" s="13"/>
      <c r="F396" s="14"/>
      <c r="G396" s="13"/>
      <c r="H396" s="1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2">
        <v>1725</v>
      </c>
      <c r="AK396" s="118">
        <v>272</v>
      </c>
      <c r="AL396" s="119" t="s">
        <v>120</v>
      </c>
      <c r="AM396" s="119" t="s">
        <v>122</v>
      </c>
      <c r="AN396" s="119" t="s">
        <v>117</v>
      </c>
      <c r="AO396" s="119" t="s">
        <v>115</v>
      </c>
      <c r="AP396" s="119" t="s">
        <v>113</v>
      </c>
      <c r="AQ396" s="119" t="s">
        <v>118</v>
      </c>
      <c r="AR396" s="119" t="s">
        <v>116</v>
      </c>
      <c r="AS396" s="119" t="s">
        <v>123</v>
      </c>
      <c r="AT396" s="8"/>
      <c r="AU396" s="8">
        <f t="shared" si="42"/>
        <v>128</v>
      </c>
      <c r="AV396" s="8">
        <f t="shared" si="43"/>
        <v>512</v>
      </c>
      <c r="AW396" s="8">
        <f t="shared" si="44"/>
        <v>16</v>
      </c>
      <c r="AX396" s="8">
        <f t="shared" si="45"/>
        <v>4</v>
      </c>
      <c r="AY396" s="8">
        <f t="shared" si="46"/>
        <v>1</v>
      </c>
      <c r="AZ396" s="8">
        <f t="shared" si="47"/>
        <v>32</v>
      </c>
      <c r="BA396" s="8">
        <f t="shared" si="48"/>
        <v>8</v>
      </c>
      <c r="BB396" s="8">
        <f t="shared" si="49"/>
        <v>1024</v>
      </c>
      <c r="BC396" s="8">
        <f t="shared" si="50"/>
        <v>1725</v>
      </c>
      <c r="BD396" s="8"/>
      <c r="BE396" s="8"/>
      <c r="BF396" s="8"/>
      <c r="BG396" s="8"/>
      <c r="BH396" s="8"/>
    </row>
    <row r="397" spans="2:60">
      <c r="B397" s="11"/>
      <c r="C397" s="12"/>
      <c r="D397" s="8"/>
      <c r="E397" s="13"/>
      <c r="F397" s="14"/>
      <c r="G397" s="13"/>
      <c r="H397" s="1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2">
        <v>2493</v>
      </c>
      <c r="AK397" s="118">
        <v>273</v>
      </c>
      <c r="AL397" s="119" t="s">
        <v>120</v>
      </c>
      <c r="AM397" s="119" t="s">
        <v>117</v>
      </c>
      <c r="AN397" s="119" t="s">
        <v>118</v>
      </c>
      <c r="AO397" s="119" t="s">
        <v>115</v>
      </c>
      <c r="AP397" s="119" t="s">
        <v>113</v>
      </c>
      <c r="AQ397" s="119" t="s">
        <v>116</v>
      </c>
      <c r="AR397" s="119" t="s">
        <v>124</v>
      </c>
      <c r="AS397" s="119" t="s">
        <v>121</v>
      </c>
      <c r="AT397" s="8"/>
      <c r="AU397" s="8">
        <f t="shared" si="42"/>
        <v>128</v>
      </c>
      <c r="AV397" s="8">
        <f t="shared" si="43"/>
        <v>16</v>
      </c>
      <c r="AW397" s="8">
        <f t="shared" si="44"/>
        <v>32</v>
      </c>
      <c r="AX397" s="8">
        <f t="shared" si="45"/>
        <v>4</v>
      </c>
      <c r="AY397" s="8">
        <f t="shared" si="46"/>
        <v>1</v>
      </c>
      <c r="AZ397" s="8">
        <f t="shared" si="47"/>
        <v>8</v>
      </c>
      <c r="BA397" s="8">
        <f t="shared" si="48"/>
        <v>2048</v>
      </c>
      <c r="BB397" s="8">
        <f t="shared" si="49"/>
        <v>256</v>
      </c>
      <c r="BC397" s="8">
        <f t="shared" si="50"/>
        <v>2493</v>
      </c>
      <c r="BD397" s="8"/>
      <c r="BE397" s="8"/>
      <c r="BF397" s="8"/>
      <c r="BG397" s="8"/>
      <c r="BH397" s="8"/>
    </row>
    <row r="398" spans="2:60">
      <c r="B398" s="11"/>
      <c r="C398" s="12"/>
      <c r="D398" s="8"/>
      <c r="E398" s="13"/>
      <c r="F398" s="14"/>
      <c r="G398" s="13"/>
      <c r="H398" s="1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2">
        <v>1469</v>
      </c>
      <c r="AK398" s="118">
        <v>274</v>
      </c>
      <c r="AL398" s="119" t="s">
        <v>120</v>
      </c>
      <c r="AM398" s="119" t="s">
        <v>117</v>
      </c>
      <c r="AN398" s="119" t="s">
        <v>118</v>
      </c>
      <c r="AO398" s="119" t="s">
        <v>115</v>
      </c>
      <c r="AP398" s="119" t="s">
        <v>113</v>
      </c>
      <c r="AQ398" s="119" t="s">
        <v>116</v>
      </c>
      <c r="AR398" s="119" t="s">
        <v>121</v>
      </c>
      <c r="AS398" s="119" t="s">
        <v>123</v>
      </c>
      <c r="AT398" s="8"/>
      <c r="AU398" s="8">
        <f t="shared" si="42"/>
        <v>128</v>
      </c>
      <c r="AV398" s="8">
        <f t="shared" si="43"/>
        <v>16</v>
      </c>
      <c r="AW398" s="8">
        <f t="shared" si="44"/>
        <v>32</v>
      </c>
      <c r="AX398" s="8">
        <f t="shared" si="45"/>
        <v>4</v>
      </c>
      <c r="AY398" s="8">
        <f t="shared" si="46"/>
        <v>1</v>
      </c>
      <c r="AZ398" s="8">
        <f t="shared" si="47"/>
        <v>8</v>
      </c>
      <c r="BA398" s="8">
        <f t="shared" si="48"/>
        <v>256</v>
      </c>
      <c r="BB398" s="8">
        <f t="shared" si="49"/>
        <v>1024</v>
      </c>
      <c r="BC398" s="8">
        <f t="shared" si="50"/>
        <v>1469</v>
      </c>
      <c r="BD398" s="8"/>
      <c r="BE398" s="8"/>
      <c r="BF398" s="8"/>
      <c r="BG398" s="8"/>
      <c r="BH398" s="8"/>
    </row>
    <row r="399" spans="2:60">
      <c r="B399" s="11"/>
      <c r="C399" s="12"/>
      <c r="D399" s="8"/>
      <c r="E399" s="13"/>
      <c r="F399" s="14"/>
      <c r="G399" s="13"/>
      <c r="H399" s="15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2">
        <v>957</v>
      </c>
      <c r="AK399" s="118">
        <v>275</v>
      </c>
      <c r="AL399" s="119" t="s">
        <v>120</v>
      </c>
      <c r="AM399" s="119" t="s">
        <v>122</v>
      </c>
      <c r="AN399" s="119" t="s">
        <v>117</v>
      </c>
      <c r="AO399" s="119" t="s">
        <v>115</v>
      </c>
      <c r="AP399" s="119" t="s">
        <v>113</v>
      </c>
      <c r="AQ399" s="119" t="s">
        <v>118</v>
      </c>
      <c r="AR399" s="119" t="s">
        <v>116</v>
      </c>
      <c r="AS399" s="119" t="s">
        <v>121</v>
      </c>
      <c r="AT399" s="8"/>
      <c r="AU399" s="8">
        <f t="shared" si="42"/>
        <v>128</v>
      </c>
      <c r="AV399" s="8">
        <f t="shared" si="43"/>
        <v>512</v>
      </c>
      <c r="AW399" s="8">
        <f t="shared" si="44"/>
        <v>16</v>
      </c>
      <c r="AX399" s="8">
        <f t="shared" si="45"/>
        <v>4</v>
      </c>
      <c r="AY399" s="8">
        <f t="shared" si="46"/>
        <v>1</v>
      </c>
      <c r="AZ399" s="8">
        <f t="shared" si="47"/>
        <v>32</v>
      </c>
      <c r="BA399" s="8">
        <f t="shared" si="48"/>
        <v>8</v>
      </c>
      <c r="BB399" s="8">
        <f t="shared" si="49"/>
        <v>256</v>
      </c>
      <c r="BC399" s="8">
        <f t="shared" si="50"/>
        <v>957</v>
      </c>
      <c r="BD399" s="8"/>
      <c r="BE399" s="8"/>
      <c r="BF399" s="8"/>
      <c r="BG399" s="8"/>
      <c r="BH399" s="8"/>
    </row>
    <row r="400" spans="2:60">
      <c r="B400" s="11"/>
      <c r="C400" s="12"/>
      <c r="D400" s="8"/>
      <c r="E400" s="13"/>
      <c r="F400" s="14"/>
      <c r="G400" s="13"/>
      <c r="H400" s="1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2">
        <v>3197</v>
      </c>
      <c r="AK400" s="118">
        <v>276</v>
      </c>
      <c r="AL400" s="119" t="s">
        <v>115</v>
      </c>
      <c r="AM400" s="119" t="s">
        <v>119</v>
      </c>
      <c r="AN400" s="119" t="s">
        <v>117</v>
      </c>
      <c r="AO400" s="119" t="s">
        <v>116</v>
      </c>
      <c r="AP400" s="119" t="s">
        <v>113</v>
      </c>
      <c r="AQ400" s="119" t="s">
        <v>118</v>
      </c>
      <c r="AR400" s="119" t="s">
        <v>124</v>
      </c>
      <c r="AS400" s="119" t="s">
        <v>123</v>
      </c>
      <c r="AT400" s="8"/>
      <c r="AU400" s="8">
        <f t="shared" si="42"/>
        <v>4</v>
      </c>
      <c r="AV400" s="8">
        <f t="shared" si="43"/>
        <v>64</v>
      </c>
      <c r="AW400" s="8">
        <f t="shared" si="44"/>
        <v>16</v>
      </c>
      <c r="AX400" s="8">
        <f t="shared" si="45"/>
        <v>8</v>
      </c>
      <c r="AY400" s="8">
        <f t="shared" si="46"/>
        <v>1</v>
      </c>
      <c r="AZ400" s="8">
        <f t="shared" si="47"/>
        <v>32</v>
      </c>
      <c r="BA400" s="8">
        <f t="shared" si="48"/>
        <v>2048</v>
      </c>
      <c r="BB400" s="8">
        <f t="shared" si="49"/>
        <v>1024</v>
      </c>
      <c r="BC400" s="8">
        <f t="shared" si="50"/>
        <v>3197</v>
      </c>
      <c r="BD400" s="8"/>
      <c r="BE400" s="8"/>
      <c r="BF400" s="8"/>
      <c r="BG400" s="8"/>
      <c r="BH400" s="8"/>
    </row>
    <row r="401" spans="2:60">
      <c r="B401" s="11"/>
      <c r="C401" s="12"/>
      <c r="D401" s="8"/>
      <c r="E401" s="13"/>
      <c r="F401" s="14"/>
      <c r="G401" s="13"/>
      <c r="H401" s="1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2">
        <v>2685</v>
      </c>
      <c r="AK401" s="118">
        <v>277</v>
      </c>
      <c r="AL401" s="119" t="s">
        <v>115</v>
      </c>
      <c r="AM401" s="119" t="s">
        <v>119</v>
      </c>
      <c r="AN401" s="119" t="s">
        <v>122</v>
      </c>
      <c r="AO401" s="119" t="s">
        <v>116</v>
      </c>
      <c r="AP401" s="119" t="s">
        <v>113</v>
      </c>
      <c r="AQ401" s="119" t="s">
        <v>118</v>
      </c>
      <c r="AR401" s="119" t="s">
        <v>124</v>
      </c>
      <c r="AS401" s="119" t="s">
        <v>117</v>
      </c>
      <c r="AT401" s="8"/>
      <c r="AU401" s="8">
        <f t="shared" si="42"/>
        <v>4</v>
      </c>
      <c r="AV401" s="8">
        <f t="shared" si="43"/>
        <v>64</v>
      </c>
      <c r="AW401" s="8">
        <f t="shared" si="44"/>
        <v>512</v>
      </c>
      <c r="AX401" s="8">
        <f t="shared" si="45"/>
        <v>8</v>
      </c>
      <c r="AY401" s="8">
        <f t="shared" si="46"/>
        <v>1</v>
      </c>
      <c r="AZ401" s="8">
        <f t="shared" si="47"/>
        <v>32</v>
      </c>
      <c r="BA401" s="8">
        <f t="shared" si="48"/>
        <v>2048</v>
      </c>
      <c r="BB401" s="8">
        <f t="shared" si="49"/>
        <v>16</v>
      </c>
      <c r="BC401" s="8">
        <f t="shared" si="50"/>
        <v>2685</v>
      </c>
      <c r="BD401" s="8"/>
      <c r="BE401" s="8"/>
      <c r="BF401" s="8"/>
      <c r="BG401" s="8"/>
      <c r="BH401" s="8"/>
    </row>
    <row r="402" spans="2:60">
      <c r="B402" s="11"/>
      <c r="C402" s="12"/>
      <c r="D402" s="8"/>
      <c r="E402" s="13"/>
      <c r="F402" s="14"/>
      <c r="G402" s="13"/>
      <c r="H402" s="1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2">
        <v>1661</v>
      </c>
      <c r="AK402" s="118">
        <v>278</v>
      </c>
      <c r="AL402" s="119" t="s">
        <v>115</v>
      </c>
      <c r="AM402" s="119" t="s">
        <v>119</v>
      </c>
      <c r="AN402" s="119" t="s">
        <v>122</v>
      </c>
      <c r="AO402" s="119" t="s">
        <v>116</v>
      </c>
      <c r="AP402" s="119" t="s">
        <v>113</v>
      </c>
      <c r="AQ402" s="119" t="s">
        <v>118</v>
      </c>
      <c r="AR402" s="119" t="s">
        <v>117</v>
      </c>
      <c r="AS402" s="119" t="s">
        <v>123</v>
      </c>
      <c r="AT402" s="8"/>
      <c r="AU402" s="8">
        <f t="shared" si="42"/>
        <v>4</v>
      </c>
      <c r="AV402" s="8">
        <f t="shared" si="43"/>
        <v>64</v>
      </c>
      <c r="AW402" s="8">
        <f t="shared" si="44"/>
        <v>512</v>
      </c>
      <c r="AX402" s="8">
        <f t="shared" si="45"/>
        <v>8</v>
      </c>
      <c r="AY402" s="8">
        <f t="shared" si="46"/>
        <v>1</v>
      </c>
      <c r="AZ402" s="8">
        <f t="shared" si="47"/>
        <v>32</v>
      </c>
      <c r="BA402" s="8">
        <f t="shared" si="48"/>
        <v>16</v>
      </c>
      <c r="BB402" s="8">
        <f t="shared" si="49"/>
        <v>1024</v>
      </c>
      <c r="BC402" s="8">
        <f t="shared" si="50"/>
        <v>1661</v>
      </c>
      <c r="BD402" s="8"/>
      <c r="BE402" s="8"/>
      <c r="BF402" s="8"/>
      <c r="BG402" s="8"/>
      <c r="BH402" s="8"/>
    </row>
    <row r="403" spans="2:60">
      <c r="B403" s="11"/>
      <c r="C403" s="12"/>
      <c r="D403" s="8"/>
      <c r="E403" s="13"/>
      <c r="F403" s="14"/>
      <c r="G403" s="13"/>
      <c r="H403" s="15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2">
        <v>2429</v>
      </c>
      <c r="AK403" s="118">
        <v>279</v>
      </c>
      <c r="AL403" s="119" t="s">
        <v>115</v>
      </c>
      <c r="AM403" s="119" t="s">
        <v>119</v>
      </c>
      <c r="AN403" s="119" t="s">
        <v>117</v>
      </c>
      <c r="AO403" s="119" t="s">
        <v>116</v>
      </c>
      <c r="AP403" s="119" t="s">
        <v>113</v>
      </c>
      <c r="AQ403" s="119" t="s">
        <v>118</v>
      </c>
      <c r="AR403" s="119" t="s">
        <v>124</v>
      </c>
      <c r="AS403" s="119" t="s">
        <v>121</v>
      </c>
      <c r="AT403" s="8"/>
      <c r="AU403" s="8">
        <f t="shared" si="42"/>
        <v>4</v>
      </c>
      <c r="AV403" s="8">
        <f t="shared" si="43"/>
        <v>64</v>
      </c>
      <c r="AW403" s="8">
        <f t="shared" si="44"/>
        <v>16</v>
      </c>
      <c r="AX403" s="8">
        <f t="shared" si="45"/>
        <v>8</v>
      </c>
      <c r="AY403" s="8">
        <f t="shared" si="46"/>
        <v>1</v>
      </c>
      <c r="AZ403" s="8">
        <f t="shared" si="47"/>
        <v>32</v>
      </c>
      <c r="BA403" s="8">
        <f t="shared" si="48"/>
        <v>2048</v>
      </c>
      <c r="BB403" s="8">
        <f t="shared" si="49"/>
        <v>256</v>
      </c>
      <c r="BC403" s="8">
        <f t="shared" si="50"/>
        <v>2429</v>
      </c>
      <c r="BD403" s="8"/>
      <c r="BE403" s="8"/>
      <c r="BF403" s="8"/>
      <c r="BG403" s="8"/>
      <c r="BH403" s="8"/>
    </row>
    <row r="404" spans="2:60">
      <c r="B404" s="11"/>
      <c r="C404" s="12"/>
      <c r="D404" s="8"/>
      <c r="E404" s="13"/>
      <c r="F404" s="14"/>
      <c r="G404" s="13"/>
      <c r="H404" s="1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2">
        <v>1405</v>
      </c>
      <c r="AK404" s="118">
        <v>280</v>
      </c>
      <c r="AL404" s="119" t="s">
        <v>115</v>
      </c>
      <c r="AM404" s="119" t="s">
        <v>119</v>
      </c>
      <c r="AN404" s="119" t="s">
        <v>117</v>
      </c>
      <c r="AO404" s="119" t="s">
        <v>116</v>
      </c>
      <c r="AP404" s="119" t="s">
        <v>113</v>
      </c>
      <c r="AQ404" s="119" t="s">
        <v>118</v>
      </c>
      <c r="AR404" s="119" t="s">
        <v>121</v>
      </c>
      <c r="AS404" s="119" t="s">
        <v>123</v>
      </c>
      <c r="AT404" s="8"/>
      <c r="AU404" s="8">
        <f t="shared" si="42"/>
        <v>4</v>
      </c>
      <c r="AV404" s="8">
        <f t="shared" si="43"/>
        <v>64</v>
      </c>
      <c r="AW404" s="8">
        <f t="shared" si="44"/>
        <v>16</v>
      </c>
      <c r="AX404" s="8">
        <f t="shared" si="45"/>
        <v>8</v>
      </c>
      <c r="AY404" s="8">
        <f t="shared" si="46"/>
        <v>1</v>
      </c>
      <c r="AZ404" s="8">
        <f t="shared" si="47"/>
        <v>32</v>
      </c>
      <c r="BA404" s="8">
        <f t="shared" si="48"/>
        <v>256</v>
      </c>
      <c r="BB404" s="8">
        <f t="shared" si="49"/>
        <v>1024</v>
      </c>
      <c r="BC404" s="8">
        <f t="shared" si="50"/>
        <v>1405</v>
      </c>
      <c r="BD404" s="8"/>
      <c r="BE404" s="8"/>
      <c r="BF404" s="8"/>
      <c r="BG404" s="8"/>
      <c r="BH404" s="8"/>
    </row>
    <row r="405" spans="2:60">
      <c r="B405" s="11"/>
      <c r="C405" s="12"/>
      <c r="D405" s="8"/>
      <c r="E405" s="13"/>
      <c r="F405" s="14"/>
      <c r="G405" s="13"/>
      <c r="H405" s="1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2">
        <v>893</v>
      </c>
      <c r="AK405" s="118">
        <v>281</v>
      </c>
      <c r="AL405" s="119" t="s">
        <v>115</v>
      </c>
      <c r="AM405" s="119" t="s">
        <v>119</v>
      </c>
      <c r="AN405" s="119" t="s">
        <v>122</v>
      </c>
      <c r="AO405" s="119" t="s">
        <v>116</v>
      </c>
      <c r="AP405" s="119" t="s">
        <v>113</v>
      </c>
      <c r="AQ405" s="119" t="s">
        <v>118</v>
      </c>
      <c r="AR405" s="119" t="s">
        <v>117</v>
      </c>
      <c r="AS405" s="119" t="s">
        <v>121</v>
      </c>
      <c r="AT405" s="8"/>
      <c r="AU405" s="8">
        <f t="shared" si="42"/>
        <v>4</v>
      </c>
      <c r="AV405" s="8">
        <f t="shared" si="43"/>
        <v>64</v>
      </c>
      <c r="AW405" s="8">
        <f t="shared" si="44"/>
        <v>512</v>
      </c>
      <c r="AX405" s="8">
        <f t="shared" si="45"/>
        <v>8</v>
      </c>
      <c r="AY405" s="8">
        <f t="shared" si="46"/>
        <v>1</v>
      </c>
      <c r="AZ405" s="8">
        <f t="shared" si="47"/>
        <v>32</v>
      </c>
      <c r="BA405" s="8">
        <f t="shared" si="48"/>
        <v>16</v>
      </c>
      <c r="BB405" s="8">
        <f t="shared" si="49"/>
        <v>256</v>
      </c>
      <c r="BC405" s="8">
        <f t="shared" si="50"/>
        <v>893</v>
      </c>
      <c r="BD405" s="8"/>
      <c r="BE405" s="8"/>
      <c r="BF405" s="8"/>
      <c r="BG405" s="8"/>
      <c r="BH405" s="8"/>
    </row>
    <row r="406" spans="2:60">
      <c r="B406" s="11"/>
      <c r="C406" s="12"/>
      <c r="D406" s="8"/>
      <c r="E406" s="13"/>
      <c r="F406" s="14"/>
      <c r="G406" s="13"/>
      <c r="H406" s="1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2">
        <v>2301</v>
      </c>
      <c r="AK406" s="118">
        <v>282</v>
      </c>
      <c r="AL406" s="119" t="s">
        <v>120</v>
      </c>
      <c r="AM406" s="119" t="s">
        <v>119</v>
      </c>
      <c r="AN406" s="119" t="s">
        <v>118</v>
      </c>
      <c r="AO406" s="119" t="s">
        <v>115</v>
      </c>
      <c r="AP406" s="119" t="s">
        <v>113</v>
      </c>
      <c r="AQ406" s="119" t="s">
        <v>116</v>
      </c>
      <c r="AR406" s="119" t="s">
        <v>124</v>
      </c>
      <c r="AS406" s="119" t="s">
        <v>117</v>
      </c>
      <c r="AT406" s="8"/>
      <c r="AU406" s="8">
        <f t="shared" si="42"/>
        <v>128</v>
      </c>
      <c r="AV406" s="8">
        <f t="shared" si="43"/>
        <v>64</v>
      </c>
      <c r="AW406" s="8">
        <f t="shared" si="44"/>
        <v>32</v>
      </c>
      <c r="AX406" s="8">
        <f t="shared" si="45"/>
        <v>4</v>
      </c>
      <c r="AY406" s="8">
        <f t="shared" si="46"/>
        <v>1</v>
      </c>
      <c r="AZ406" s="8">
        <f t="shared" si="47"/>
        <v>8</v>
      </c>
      <c r="BA406" s="8">
        <f t="shared" si="48"/>
        <v>2048</v>
      </c>
      <c r="BB406" s="8">
        <f t="shared" si="49"/>
        <v>16</v>
      </c>
      <c r="BC406" s="8">
        <f t="shared" si="50"/>
        <v>2301</v>
      </c>
      <c r="BD406" s="8"/>
      <c r="BE406" s="8"/>
      <c r="BF406" s="8"/>
      <c r="BG406" s="8"/>
      <c r="BH406" s="8"/>
    </row>
    <row r="407" spans="2:60">
      <c r="B407" s="11"/>
      <c r="C407" s="12"/>
      <c r="D407" s="8"/>
      <c r="E407" s="13"/>
      <c r="F407" s="14"/>
      <c r="G407" s="13"/>
      <c r="H407" s="15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2">
        <v>1277</v>
      </c>
      <c r="AK407" s="118">
        <v>283</v>
      </c>
      <c r="AL407" s="119" t="s">
        <v>120</v>
      </c>
      <c r="AM407" s="119" t="s">
        <v>119</v>
      </c>
      <c r="AN407" s="119" t="s">
        <v>117</v>
      </c>
      <c r="AO407" s="119" t="s">
        <v>115</v>
      </c>
      <c r="AP407" s="119" t="s">
        <v>113</v>
      </c>
      <c r="AQ407" s="119" t="s">
        <v>118</v>
      </c>
      <c r="AR407" s="119" t="s">
        <v>116</v>
      </c>
      <c r="AS407" s="119" t="s">
        <v>123</v>
      </c>
      <c r="AT407" s="8"/>
      <c r="AU407" s="8">
        <f t="shared" si="42"/>
        <v>128</v>
      </c>
      <c r="AV407" s="8">
        <f t="shared" si="43"/>
        <v>64</v>
      </c>
      <c r="AW407" s="8">
        <f t="shared" si="44"/>
        <v>16</v>
      </c>
      <c r="AX407" s="8">
        <f t="shared" si="45"/>
        <v>4</v>
      </c>
      <c r="AY407" s="8">
        <f t="shared" si="46"/>
        <v>1</v>
      </c>
      <c r="AZ407" s="8">
        <f t="shared" si="47"/>
        <v>32</v>
      </c>
      <c r="BA407" s="8">
        <f t="shared" si="48"/>
        <v>8</v>
      </c>
      <c r="BB407" s="8">
        <f t="shared" si="49"/>
        <v>1024</v>
      </c>
      <c r="BC407" s="8">
        <f t="shared" si="50"/>
        <v>1277</v>
      </c>
      <c r="BD407" s="8"/>
      <c r="BE407" s="8"/>
      <c r="BF407" s="8"/>
      <c r="BG407" s="8"/>
      <c r="BH407" s="8"/>
    </row>
    <row r="408" spans="2:60">
      <c r="B408" s="11"/>
      <c r="C408" s="12"/>
      <c r="D408" s="8"/>
      <c r="E408" s="13"/>
      <c r="F408" s="14"/>
      <c r="G408" s="13"/>
      <c r="H408" s="15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2">
        <v>765</v>
      </c>
      <c r="AK408" s="118">
        <v>284</v>
      </c>
      <c r="AL408" s="119" t="s">
        <v>120</v>
      </c>
      <c r="AM408" s="119" t="s">
        <v>119</v>
      </c>
      <c r="AN408" s="119" t="s">
        <v>122</v>
      </c>
      <c r="AO408" s="119" t="s">
        <v>115</v>
      </c>
      <c r="AP408" s="119" t="s">
        <v>113</v>
      </c>
      <c r="AQ408" s="119" t="s">
        <v>118</v>
      </c>
      <c r="AR408" s="119" t="s">
        <v>116</v>
      </c>
      <c r="AS408" s="119" t="s">
        <v>117</v>
      </c>
      <c r="AT408" s="8"/>
      <c r="AU408" s="8">
        <f t="shared" si="42"/>
        <v>128</v>
      </c>
      <c r="AV408" s="8">
        <f t="shared" si="43"/>
        <v>64</v>
      </c>
      <c r="AW408" s="8">
        <f t="shared" si="44"/>
        <v>512</v>
      </c>
      <c r="AX408" s="8">
        <f t="shared" si="45"/>
        <v>4</v>
      </c>
      <c r="AY408" s="8">
        <f t="shared" si="46"/>
        <v>1</v>
      </c>
      <c r="AZ408" s="8">
        <f t="shared" si="47"/>
        <v>32</v>
      </c>
      <c r="BA408" s="8">
        <f t="shared" si="48"/>
        <v>8</v>
      </c>
      <c r="BB408" s="8">
        <f t="shared" si="49"/>
        <v>16</v>
      </c>
      <c r="BC408" s="8">
        <f t="shared" si="50"/>
        <v>765</v>
      </c>
      <c r="BD408" s="8"/>
      <c r="BE408" s="8"/>
      <c r="BF408" s="8"/>
      <c r="BG408" s="8"/>
      <c r="BH408" s="8"/>
    </row>
    <row r="409" spans="2:60">
      <c r="B409" s="11"/>
      <c r="C409" s="12"/>
      <c r="D409" s="8"/>
      <c r="E409" s="13"/>
      <c r="F409" s="14"/>
      <c r="G409" s="13"/>
      <c r="H409" s="15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2">
        <v>509</v>
      </c>
      <c r="AK409" s="118">
        <v>285</v>
      </c>
      <c r="AL409" s="119" t="s">
        <v>120</v>
      </c>
      <c r="AM409" s="119" t="s">
        <v>119</v>
      </c>
      <c r="AN409" s="119" t="s">
        <v>117</v>
      </c>
      <c r="AO409" s="119" t="s">
        <v>115</v>
      </c>
      <c r="AP409" s="119" t="s">
        <v>113</v>
      </c>
      <c r="AQ409" s="119" t="s">
        <v>118</v>
      </c>
      <c r="AR409" s="119" t="s">
        <v>116</v>
      </c>
      <c r="AS409" s="119" t="s">
        <v>121</v>
      </c>
      <c r="AT409" s="8"/>
      <c r="AU409" s="8">
        <f t="shared" si="42"/>
        <v>128</v>
      </c>
      <c r="AV409" s="8">
        <f t="shared" si="43"/>
        <v>64</v>
      </c>
      <c r="AW409" s="8">
        <f t="shared" si="44"/>
        <v>16</v>
      </c>
      <c r="AX409" s="8">
        <f t="shared" si="45"/>
        <v>4</v>
      </c>
      <c r="AY409" s="8">
        <f t="shared" si="46"/>
        <v>1</v>
      </c>
      <c r="AZ409" s="8">
        <f t="shared" si="47"/>
        <v>32</v>
      </c>
      <c r="BA409" s="8">
        <f t="shared" si="48"/>
        <v>8</v>
      </c>
      <c r="BB409" s="8">
        <f t="shared" si="49"/>
        <v>256</v>
      </c>
      <c r="BC409" s="8">
        <f t="shared" si="50"/>
        <v>509</v>
      </c>
      <c r="BD409" s="8"/>
      <c r="BE409" s="8"/>
      <c r="BF409" s="8"/>
      <c r="BG409" s="8"/>
      <c r="BH409" s="8"/>
    </row>
    <row r="410" spans="2:60">
      <c r="B410" s="11"/>
      <c r="C410" s="12"/>
      <c r="D410" s="8"/>
      <c r="E410" s="13"/>
      <c r="F410" s="14"/>
      <c r="G410" s="13"/>
      <c r="H410" s="15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2">
        <v>4035</v>
      </c>
      <c r="AK410" s="118">
        <v>286</v>
      </c>
      <c r="AL410" s="119" t="s">
        <v>120</v>
      </c>
      <c r="AM410" s="119" t="s">
        <v>122</v>
      </c>
      <c r="AN410" s="119" t="s">
        <v>114</v>
      </c>
      <c r="AO410" s="119" t="s">
        <v>113</v>
      </c>
      <c r="AP410" s="119" t="s">
        <v>121</v>
      </c>
      <c r="AQ410" s="119" t="s">
        <v>119</v>
      </c>
      <c r="AR410" s="119" t="s">
        <v>124</v>
      </c>
      <c r="AS410" s="119" t="s">
        <v>123</v>
      </c>
      <c r="AT410" s="8"/>
      <c r="AU410" s="8">
        <f t="shared" si="42"/>
        <v>128</v>
      </c>
      <c r="AV410" s="8">
        <f t="shared" si="43"/>
        <v>512</v>
      </c>
      <c r="AW410" s="8">
        <f t="shared" si="44"/>
        <v>2</v>
      </c>
      <c r="AX410" s="8">
        <f t="shared" si="45"/>
        <v>1</v>
      </c>
      <c r="AY410" s="8">
        <f t="shared" si="46"/>
        <v>256</v>
      </c>
      <c r="AZ410" s="8">
        <f t="shared" si="47"/>
        <v>64</v>
      </c>
      <c r="BA410" s="8">
        <f t="shared" si="48"/>
        <v>2048</v>
      </c>
      <c r="BB410" s="8">
        <f t="shared" si="49"/>
        <v>1024</v>
      </c>
      <c r="BC410" s="8">
        <f t="shared" si="50"/>
        <v>4035</v>
      </c>
      <c r="BD410" s="8"/>
      <c r="BE410" s="8"/>
      <c r="BF410" s="8"/>
      <c r="BG410" s="8"/>
      <c r="BH410" s="8"/>
    </row>
    <row r="411" spans="2:60">
      <c r="B411" s="11"/>
      <c r="C411" s="12"/>
      <c r="D411" s="8"/>
      <c r="E411" s="13"/>
      <c r="F411" s="14"/>
      <c r="G411" s="13"/>
      <c r="H411" s="15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2">
        <v>4003</v>
      </c>
      <c r="AK411" s="118">
        <v>287</v>
      </c>
      <c r="AL411" s="119" t="s">
        <v>120</v>
      </c>
      <c r="AM411" s="119" t="s">
        <v>122</v>
      </c>
      <c r="AN411" s="119" t="s">
        <v>114</v>
      </c>
      <c r="AO411" s="119" t="s">
        <v>113</v>
      </c>
      <c r="AP411" s="119" t="s">
        <v>121</v>
      </c>
      <c r="AQ411" s="119" t="s">
        <v>118</v>
      </c>
      <c r="AR411" s="119" t="s">
        <v>124</v>
      </c>
      <c r="AS411" s="119" t="s">
        <v>123</v>
      </c>
      <c r="AT411" s="8"/>
      <c r="AU411" s="8">
        <f t="shared" si="42"/>
        <v>128</v>
      </c>
      <c r="AV411" s="8">
        <f t="shared" si="43"/>
        <v>512</v>
      </c>
      <c r="AW411" s="8">
        <f t="shared" si="44"/>
        <v>2</v>
      </c>
      <c r="AX411" s="8">
        <f t="shared" si="45"/>
        <v>1</v>
      </c>
      <c r="AY411" s="8">
        <f t="shared" si="46"/>
        <v>256</v>
      </c>
      <c r="AZ411" s="8">
        <f t="shared" si="47"/>
        <v>32</v>
      </c>
      <c r="BA411" s="8">
        <f t="shared" si="48"/>
        <v>2048</v>
      </c>
      <c r="BB411" s="8">
        <f t="shared" si="49"/>
        <v>1024</v>
      </c>
      <c r="BC411" s="8">
        <f t="shared" si="50"/>
        <v>4003</v>
      </c>
      <c r="BD411" s="8"/>
      <c r="BE411" s="8"/>
      <c r="BF411" s="8"/>
      <c r="BG411" s="8"/>
      <c r="BH411" s="8"/>
    </row>
    <row r="412" spans="2:60">
      <c r="B412" s="11"/>
      <c r="C412" s="12"/>
      <c r="D412" s="8"/>
      <c r="E412" s="13"/>
      <c r="F412" s="14"/>
      <c r="G412" s="13"/>
      <c r="H412" s="15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2">
        <v>3939</v>
      </c>
      <c r="AK412" s="118">
        <v>288</v>
      </c>
      <c r="AL412" s="119" t="s">
        <v>121</v>
      </c>
      <c r="AM412" s="119" t="s">
        <v>122</v>
      </c>
      <c r="AN412" s="119" t="s">
        <v>114</v>
      </c>
      <c r="AO412" s="119" t="s">
        <v>118</v>
      </c>
      <c r="AP412" s="119" t="s">
        <v>113</v>
      </c>
      <c r="AQ412" s="119" t="s">
        <v>119</v>
      </c>
      <c r="AR412" s="119" t="s">
        <v>124</v>
      </c>
      <c r="AS412" s="119" t="s">
        <v>123</v>
      </c>
      <c r="AT412" s="8"/>
      <c r="AU412" s="8">
        <f t="shared" si="42"/>
        <v>256</v>
      </c>
      <c r="AV412" s="8">
        <f t="shared" si="43"/>
        <v>512</v>
      </c>
      <c r="AW412" s="8">
        <f t="shared" si="44"/>
        <v>2</v>
      </c>
      <c r="AX412" s="8">
        <f t="shared" si="45"/>
        <v>32</v>
      </c>
      <c r="AY412" s="8">
        <f t="shared" si="46"/>
        <v>1</v>
      </c>
      <c r="AZ412" s="8">
        <f t="shared" si="47"/>
        <v>64</v>
      </c>
      <c r="BA412" s="8">
        <f t="shared" si="48"/>
        <v>2048</v>
      </c>
      <c r="BB412" s="8">
        <f t="shared" si="49"/>
        <v>1024</v>
      </c>
      <c r="BC412" s="8">
        <f t="shared" si="50"/>
        <v>3939</v>
      </c>
      <c r="BD412" s="8"/>
      <c r="BE412" s="8"/>
      <c r="BF412" s="8"/>
      <c r="BG412" s="8"/>
      <c r="BH412" s="8"/>
    </row>
    <row r="413" spans="2:60">
      <c r="B413" s="11"/>
      <c r="C413" s="12"/>
      <c r="D413" s="8"/>
      <c r="E413" s="13"/>
      <c r="F413" s="14"/>
      <c r="G413" s="13"/>
      <c r="H413" s="15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2">
        <v>3811</v>
      </c>
      <c r="AK413" s="118">
        <v>289</v>
      </c>
      <c r="AL413" s="119" t="s">
        <v>120</v>
      </c>
      <c r="AM413" s="119" t="s">
        <v>122</v>
      </c>
      <c r="AN413" s="119" t="s">
        <v>114</v>
      </c>
      <c r="AO413" s="119" t="s">
        <v>118</v>
      </c>
      <c r="AP413" s="119" t="s">
        <v>113</v>
      </c>
      <c r="AQ413" s="119" t="s">
        <v>119</v>
      </c>
      <c r="AR413" s="119" t="s">
        <v>124</v>
      </c>
      <c r="AS413" s="119" t="s">
        <v>123</v>
      </c>
      <c r="AT413" s="8"/>
      <c r="AU413" s="8">
        <f t="shared" si="42"/>
        <v>128</v>
      </c>
      <c r="AV413" s="8">
        <f t="shared" si="43"/>
        <v>512</v>
      </c>
      <c r="AW413" s="8">
        <f t="shared" si="44"/>
        <v>2</v>
      </c>
      <c r="AX413" s="8">
        <f t="shared" si="45"/>
        <v>32</v>
      </c>
      <c r="AY413" s="8">
        <f t="shared" si="46"/>
        <v>1</v>
      </c>
      <c r="AZ413" s="8">
        <f t="shared" si="47"/>
        <v>64</v>
      </c>
      <c r="BA413" s="8">
        <f t="shared" si="48"/>
        <v>2048</v>
      </c>
      <c r="BB413" s="8">
        <f t="shared" si="49"/>
        <v>1024</v>
      </c>
      <c r="BC413" s="8">
        <f t="shared" si="50"/>
        <v>3811</v>
      </c>
      <c r="BD413" s="8"/>
      <c r="BE413" s="8"/>
      <c r="BF413" s="8"/>
      <c r="BG413" s="8"/>
      <c r="BH413" s="8"/>
    </row>
    <row r="414" spans="2:60">
      <c r="B414" s="11"/>
      <c r="C414" s="12"/>
      <c r="D414" s="8"/>
      <c r="E414" s="13"/>
      <c r="F414" s="14"/>
      <c r="G414" s="13"/>
      <c r="H414" s="15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2">
        <v>3555</v>
      </c>
      <c r="AK414" s="118">
        <v>290</v>
      </c>
      <c r="AL414" s="119" t="s">
        <v>120</v>
      </c>
      <c r="AM414" s="119" t="s">
        <v>119</v>
      </c>
      <c r="AN414" s="119" t="s">
        <v>114</v>
      </c>
      <c r="AO414" s="119" t="s">
        <v>113</v>
      </c>
      <c r="AP414" s="119" t="s">
        <v>121</v>
      </c>
      <c r="AQ414" s="119" t="s">
        <v>118</v>
      </c>
      <c r="AR414" s="119" t="s">
        <v>124</v>
      </c>
      <c r="AS414" s="119" t="s">
        <v>123</v>
      </c>
      <c r="AT414" s="8"/>
      <c r="AU414" s="8">
        <f t="shared" si="42"/>
        <v>128</v>
      </c>
      <c r="AV414" s="8">
        <f t="shared" si="43"/>
        <v>64</v>
      </c>
      <c r="AW414" s="8">
        <f t="shared" si="44"/>
        <v>2</v>
      </c>
      <c r="AX414" s="8">
        <f t="shared" si="45"/>
        <v>1</v>
      </c>
      <c r="AY414" s="8">
        <f t="shared" si="46"/>
        <v>256</v>
      </c>
      <c r="AZ414" s="8">
        <f t="shared" si="47"/>
        <v>32</v>
      </c>
      <c r="BA414" s="8">
        <f t="shared" si="48"/>
        <v>2048</v>
      </c>
      <c r="BB414" s="8">
        <f t="shared" si="49"/>
        <v>1024</v>
      </c>
      <c r="BC414" s="8">
        <f t="shared" si="50"/>
        <v>3555</v>
      </c>
      <c r="BD414" s="8"/>
      <c r="BE414" s="8"/>
      <c r="BF414" s="8"/>
      <c r="BG414" s="8"/>
      <c r="BH414" s="8"/>
    </row>
    <row r="415" spans="2:60">
      <c r="B415" s="11"/>
      <c r="C415" s="12"/>
      <c r="D415" s="8"/>
      <c r="E415" s="13"/>
      <c r="F415" s="14"/>
      <c r="G415" s="13"/>
      <c r="H415" s="15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2">
        <v>3043</v>
      </c>
      <c r="AK415" s="118">
        <v>291</v>
      </c>
      <c r="AL415" s="119" t="s">
        <v>120</v>
      </c>
      <c r="AM415" s="119" t="s">
        <v>122</v>
      </c>
      <c r="AN415" s="119" t="s">
        <v>114</v>
      </c>
      <c r="AO415" s="119" t="s">
        <v>118</v>
      </c>
      <c r="AP415" s="119" t="s">
        <v>113</v>
      </c>
      <c r="AQ415" s="119" t="s">
        <v>119</v>
      </c>
      <c r="AR415" s="119" t="s">
        <v>124</v>
      </c>
      <c r="AS415" s="119" t="s">
        <v>121</v>
      </c>
      <c r="AT415" s="8"/>
      <c r="AU415" s="8">
        <f t="shared" si="42"/>
        <v>128</v>
      </c>
      <c r="AV415" s="8">
        <f t="shared" si="43"/>
        <v>512</v>
      </c>
      <c r="AW415" s="8">
        <f t="shared" si="44"/>
        <v>2</v>
      </c>
      <c r="AX415" s="8">
        <f t="shared" si="45"/>
        <v>32</v>
      </c>
      <c r="AY415" s="8">
        <f t="shared" si="46"/>
        <v>1</v>
      </c>
      <c r="AZ415" s="8">
        <f t="shared" si="47"/>
        <v>64</v>
      </c>
      <c r="BA415" s="8">
        <f t="shared" si="48"/>
        <v>2048</v>
      </c>
      <c r="BB415" s="8">
        <f t="shared" si="49"/>
        <v>256</v>
      </c>
      <c r="BC415" s="8">
        <f t="shared" si="50"/>
        <v>3043</v>
      </c>
      <c r="BD415" s="8"/>
      <c r="BE415" s="8"/>
      <c r="BF415" s="8"/>
      <c r="BG415" s="8"/>
      <c r="BH415" s="8"/>
    </row>
    <row r="416" spans="2:60">
      <c r="B416" s="11"/>
      <c r="C416" s="12"/>
      <c r="D416" s="8"/>
      <c r="E416" s="13"/>
      <c r="F416" s="14"/>
      <c r="G416" s="13"/>
      <c r="H416" s="15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2">
        <v>2019</v>
      </c>
      <c r="AK416" s="118">
        <v>292</v>
      </c>
      <c r="AL416" s="119" t="s">
        <v>120</v>
      </c>
      <c r="AM416" s="119" t="s">
        <v>122</v>
      </c>
      <c r="AN416" s="119" t="s">
        <v>114</v>
      </c>
      <c r="AO416" s="119" t="s">
        <v>118</v>
      </c>
      <c r="AP416" s="119" t="s">
        <v>113</v>
      </c>
      <c r="AQ416" s="119" t="s">
        <v>119</v>
      </c>
      <c r="AR416" s="119" t="s">
        <v>121</v>
      </c>
      <c r="AS416" s="119" t="s">
        <v>123</v>
      </c>
      <c r="AT416" s="8"/>
      <c r="AU416" s="8">
        <f t="shared" si="42"/>
        <v>128</v>
      </c>
      <c r="AV416" s="8">
        <f t="shared" si="43"/>
        <v>512</v>
      </c>
      <c r="AW416" s="8">
        <f t="shared" si="44"/>
        <v>2</v>
      </c>
      <c r="AX416" s="8">
        <f t="shared" si="45"/>
        <v>32</v>
      </c>
      <c r="AY416" s="8">
        <f t="shared" si="46"/>
        <v>1</v>
      </c>
      <c r="AZ416" s="8">
        <f t="shared" si="47"/>
        <v>64</v>
      </c>
      <c r="BA416" s="8">
        <f t="shared" si="48"/>
        <v>256</v>
      </c>
      <c r="BB416" s="8">
        <f t="shared" si="49"/>
        <v>1024</v>
      </c>
      <c r="BC416" s="8">
        <f t="shared" si="50"/>
        <v>2019</v>
      </c>
      <c r="BD416" s="8"/>
      <c r="BE416" s="8"/>
      <c r="BF416" s="8"/>
      <c r="BG416" s="8"/>
      <c r="BH416" s="8"/>
    </row>
    <row r="417" spans="2:60">
      <c r="B417" s="11"/>
      <c r="C417" s="12"/>
      <c r="D417" s="8"/>
      <c r="E417" s="13"/>
      <c r="F417" s="14"/>
      <c r="G417" s="13"/>
      <c r="H417" s="15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2">
        <v>3987</v>
      </c>
      <c r="AK417" s="118">
        <v>293</v>
      </c>
      <c r="AL417" s="119" t="s">
        <v>117</v>
      </c>
      <c r="AM417" s="119" t="s">
        <v>122</v>
      </c>
      <c r="AN417" s="119" t="s">
        <v>114</v>
      </c>
      <c r="AO417" s="119" t="s">
        <v>113</v>
      </c>
      <c r="AP417" s="119" t="s">
        <v>121</v>
      </c>
      <c r="AQ417" s="119" t="s">
        <v>120</v>
      </c>
      <c r="AR417" s="119" t="s">
        <v>124</v>
      </c>
      <c r="AS417" s="119" t="s">
        <v>123</v>
      </c>
      <c r="AT417" s="8"/>
      <c r="AU417" s="8">
        <f t="shared" si="42"/>
        <v>16</v>
      </c>
      <c r="AV417" s="8">
        <f t="shared" si="43"/>
        <v>512</v>
      </c>
      <c r="AW417" s="8">
        <f t="shared" si="44"/>
        <v>2</v>
      </c>
      <c r="AX417" s="8">
        <f t="shared" si="45"/>
        <v>1</v>
      </c>
      <c r="AY417" s="8">
        <f t="shared" si="46"/>
        <v>256</v>
      </c>
      <c r="AZ417" s="8">
        <f t="shared" si="47"/>
        <v>128</v>
      </c>
      <c r="BA417" s="8">
        <f t="shared" si="48"/>
        <v>2048</v>
      </c>
      <c r="BB417" s="8">
        <f t="shared" si="49"/>
        <v>1024</v>
      </c>
      <c r="BC417" s="8">
        <f t="shared" si="50"/>
        <v>3987</v>
      </c>
      <c r="BD417" s="8"/>
      <c r="BE417" s="8"/>
      <c r="BF417" s="8"/>
      <c r="BG417" s="8"/>
      <c r="BH417" s="8"/>
    </row>
    <row r="418" spans="2:60">
      <c r="B418" s="11"/>
      <c r="C418" s="12"/>
      <c r="D418" s="8"/>
      <c r="E418" s="13"/>
      <c r="F418" s="14"/>
      <c r="G418" s="13"/>
      <c r="H418" s="15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2">
        <v>3923</v>
      </c>
      <c r="AK418" s="118">
        <v>294</v>
      </c>
      <c r="AL418" s="119" t="s">
        <v>117</v>
      </c>
      <c r="AM418" s="119" t="s">
        <v>122</v>
      </c>
      <c r="AN418" s="119" t="s">
        <v>114</v>
      </c>
      <c r="AO418" s="119" t="s">
        <v>113</v>
      </c>
      <c r="AP418" s="119" t="s">
        <v>121</v>
      </c>
      <c r="AQ418" s="119" t="s">
        <v>119</v>
      </c>
      <c r="AR418" s="119" t="s">
        <v>124</v>
      </c>
      <c r="AS418" s="119" t="s">
        <v>123</v>
      </c>
      <c r="AT418" s="8"/>
      <c r="AU418" s="8">
        <f t="shared" si="42"/>
        <v>16</v>
      </c>
      <c r="AV418" s="8">
        <f t="shared" si="43"/>
        <v>512</v>
      </c>
      <c r="AW418" s="8">
        <f t="shared" si="44"/>
        <v>2</v>
      </c>
      <c r="AX418" s="8">
        <f t="shared" si="45"/>
        <v>1</v>
      </c>
      <c r="AY418" s="8">
        <f t="shared" si="46"/>
        <v>256</v>
      </c>
      <c r="AZ418" s="8">
        <f t="shared" si="47"/>
        <v>64</v>
      </c>
      <c r="BA418" s="8">
        <f t="shared" si="48"/>
        <v>2048</v>
      </c>
      <c r="BB418" s="8">
        <f t="shared" si="49"/>
        <v>1024</v>
      </c>
      <c r="BC418" s="8">
        <f t="shared" si="50"/>
        <v>3923</v>
      </c>
      <c r="BD418" s="8"/>
      <c r="BE418" s="8"/>
      <c r="BF418" s="8"/>
      <c r="BG418" s="8"/>
      <c r="BH418" s="8"/>
    </row>
    <row r="419" spans="2:60">
      <c r="B419" s="11"/>
      <c r="C419" s="12"/>
      <c r="D419" s="8"/>
      <c r="E419" s="13"/>
      <c r="F419" s="14"/>
      <c r="G419" s="13"/>
      <c r="H419" s="15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2">
        <v>3795</v>
      </c>
      <c r="AK419" s="118">
        <v>295</v>
      </c>
      <c r="AL419" s="119" t="s">
        <v>117</v>
      </c>
      <c r="AM419" s="119" t="s">
        <v>122</v>
      </c>
      <c r="AN419" s="119" t="s">
        <v>114</v>
      </c>
      <c r="AO419" s="119" t="s">
        <v>113</v>
      </c>
      <c r="AP419" s="119" t="s">
        <v>120</v>
      </c>
      <c r="AQ419" s="119" t="s">
        <v>119</v>
      </c>
      <c r="AR419" s="119" t="s">
        <v>124</v>
      </c>
      <c r="AS419" s="119" t="s">
        <v>123</v>
      </c>
      <c r="AT419" s="8"/>
      <c r="AU419" s="8">
        <f t="shared" si="42"/>
        <v>16</v>
      </c>
      <c r="AV419" s="8">
        <f t="shared" si="43"/>
        <v>512</v>
      </c>
      <c r="AW419" s="8">
        <f t="shared" si="44"/>
        <v>2</v>
      </c>
      <c r="AX419" s="8">
        <f t="shared" si="45"/>
        <v>1</v>
      </c>
      <c r="AY419" s="8">
        <f t="shared" si="46"/>
        <v>128</v>
      </c>
      <c r="AZ419" s="8">
        <f t="shared" si="47"/>
        <v>64</v>
      </c>
      <c r="BA419" s="8">
        <f t="shared" si="48"/>
        <v>2048</v>
      </c>
      <c r="BB419" s="8">
        <f t="shared" si="49"/>
        <v>1024</v>
      </c>
      <c r="BC419" s="8">
        <f t="shared" si="50"/>
        <v>3795</v>
      </c>
      <c r="BD419" s="8"/>
      <c r="BE419" s="8"/>
      <c r="BF419" s="8"/>
      <c r="BG419" s="8"/>
      <c r="BH419" s="8"/>
    </row>
    <row r="420" spans="2:60">
      <c r="B420" s="11"/>
      <c r="C420" s="12"/>
      <c r="D420" s="8"/>
      <c r="E420" s="13"/>
      <c r="F420" s="14"/>
      <c r="G420" s="13"/>
      <c r="H420" s="15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2">
        <v>3539</v>
      </c>
      <c r="AK420" s="118">
        <v>296</v>
      </c>
      <c r="AL420" s="119" t="s">
        <v>117</v>
      </c>
      <c r="AM420" s="119" t="s">
        <v>119</v>
      </c>
      <c r="AN420" s="119" t="s">
        <v>114</v>
      </c>
      <c r="AO420" s="119" t="s">
        <v>113</v>
      </c>
      <c r="AP420" s="119" t="s">
        <v>121</v>
      </c>
      <c r="AQ420" s="119" t="s">
        <v>120</v>
      </c>
      <c r="AR420" s="119" t="s">
        <v>124</v>
      </c>
      <c r="AS420" s="119" t="s">
        <v>123</v>
      </c>
      <c r="AT420" s="8"/>
      <c r="AU420" s="8">
        <f t="shared" si="42"/>
        <v>16</v>
      </c>
      <c r="AV420" s="8">
        <f t="shared" si="43"/>
        <v>64</v>
      </c>
      <c r="AW420" s="8">
        <f t="shared" si="44"/>
        <v>2</v>
      </c>
      <c r="AX420" s="8">
        <f t="shared" si="45"/>
        <v>1</v>
      </c>
      <c r="AY420" s="8">
        <f t="shared" si="46"/>
        <v>256</v>
      </c>
      <c r="AZ420" s="8">
        <f t="shared" si="47"/>
        <v>128</v>
      </c>
      <c r="BA420" s="8">
        <f t="shared" si="48"/>
        <v>2048</v>
      </c>
      <c r="BB420" s="8">
        <f t="shared" si="49"/>
        <v>1024</v>
      </c>
      <c r="BC420" s="8">
        <f t="shared" si="50"/>
        <v>3539</v>
      </c>
      <c r="BD420" s="8"/>
      <c r="BE420" s="8"/>
      <c r="BF420" s="8"/>
      <c r="BG420" s="8"/>
      <c r="BH420" s="8"/>
    </row>
    <row r="421" spans="2:60">
      <c r="B421" s="11"/>
      <c r="C421" s="12"/>
      <c r="D421" s="8"/>
      <c r="E421" s="13"/>
      <c r="F421" s="14"/>
      <c r="G421" s="13"/>
      <c r="H421" s="15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2">
        <v>3027</v>
      </c>
      <c r="AK421" s="118">
        <v>297</v>
      </c>
      <c r="AL421" s="119" t="s">
        <v>117</v>
      </c>
      <c r="AM421" s="119" t="s">
        <v>122</v>
      </c>
      <c r="AN421" s="119" t="s">
        <v>114</v>
      </c>
      <c r="AO421" s="119" t="s">
        <v>113</v>
      </c>
      <c r="AP421" s="119" t="s">
        <v>120</v>
      </c>
      <c r="AQ421" s="119" t="s">
        <v>119</v>
      </c>
      <c r="AR421" s="119" t="s">
        <v>124</v>
      </c>
      <c r="AS421" s="119" t="s">
        <v>121</v>
      </c>
      <c r="AT421" s="8"/>
      <c r="AU421" s="8">
        <f t="shared" si="42"/>
        <v>16</v>
      </c>
      <c r="AV421" s="8">
        <f t="shared" si="43"/>
        <v>512</v>
      </c>
      <c r="AW421" s="8">
        <f t="shared" si="44"/>
        <v>2</v>
      </c>
      <c r="AX421" s="8">
        <f t="shared" si="45"/>
        <v>1</v>
      </c>
      <c r="AY421" s="8">
        <f t="shared" si="46"/>
        <v>128</v>
      </c>
      <c r="AZ421" s="8">
        <f t="shared" si="47"/>
        <v>64</v>
      </c>
      <c r="BA421" s="8">
        <f t="shared" si="48"/>
        <v>2048</v>
      </c>
      <c r="BB421" s="8">
        <f t="shared" si="49"/>
        <v>256</v>
      </c>
      <c r="BC421" s="8">
        <f t="shared" si="50"/>
        <v>3027</v>
      </c>
      <c r="BD421" s="8"/>
      <c r="BE421" s="8"/>
      <c r="BF421" s="8"/>
      <c r="BG421" s="8"/>
      <c r="BH421" s="8"/>
    </row>
    <row r="422" spans="2:60">
      <c r="B422" s="11"/>
      <c r="C422" s="12"/>
      <c r="D422" s="8"/>
      <c r="E422" s="13"/>
      <c r="F422" s="14"/>
      <c r="G422" s="13"/>
      <c r="H422" s="15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2">
        <v>2003</v>
      </c>
      <c r="AK422" s="118">
        <v>298</v>
      </c>
      <c r="AL422" s="119" t="s">
        <v>117</v>
      </c>
      <c r="AM422" s="119" t="s">
        <v>122</v>
      </c>
      <c r="AN422" s="119" t="s">
        <v>114</v>
      </c>
      <c r="AO422" s="119" t="s">
        <v>113</v>
      </c>
      <c r="AP422" s="119" t="s">
        <v>120</v>
      </c>
      <c r="AQ422" s="119" t="s">
        <v>119</v>
      </c>
      <c r="AR422" s="119" t="s">
        <v>121</v>
      </c>
      <c r="AS422" s="119" t="s">
        <v>123</v>
      </c>
      <c r="AT422" s="8"/>
      <c r="AU422" s="8">
        <f t="shared" si="42"/>
        <v>16</v>
      </c>
      <c r="AV422" s="8">
        <f t="shared" si="43"/>
        <v>512</v>
      </c>
      <c r="AW422" s="8">
        <f t="shared" si="44"/>
        <v>2</v>
      </c>
      <c r="AX422" s="8">
        <f t="shared" si="45"/>
        <v>1</v>
      </c>
      <c r="AY422" s="8">
        <f t="shared" si="46"/>
        <v>128</v>
      </c>
      <c r="AZ422" s="8">
        <f t="shared" si="47"/>
        <v>64</v>
      </c>
      <c r="BA422" s="8">
        <f t="shared" si="48"/>
        <v>256</v>
      </c>
      <c r="BB422" s="8">
        <f t="shared" si="49"/>
        <v>1024</v>
      </c>
      <c r="BC422" s="8">
        <f t="shared" si="50"/>
        <v>2003</v>
      </c>
      <c r="BD422" s="8"/>
      <c r="BE422" s="8"/>
      <c r="BF422" s="8"/>
      <c r="BG422" s="8"/>
      <c r="BH422" s="8"/>
    </row>
    <row r="423" spans="2:60">
      <c r="B423" s="11"/>
      <c r="C423" s="12"/>
      <c r="D423" s="8"/>
      <c r="E423" s="13"/>
      <c r="F423" s="14"/>
      <c r="G423" s="13"/>
      <c r="H423" s="15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2">
        <v>3891</v>
      </c>
      <c r="AK423" s="118">
        <v>299</v>
      </c>
      <c r="AL423" s="119" t="s">
        <v>117</v>
      </c>
      <c r="AM423" s="119" t="s">
        <v>122</v>
      </c>
      <c r="AN423" s="119" t="s">
        <v>114</v>
      </c>
      <c r="AO423" s="119" t="s">
        <v>113</v>
      </c>
      <c r="AP423" s="119" t="s">
        <v>121</v>
      </c>
      <c r="AQ423" s="119" t="s">
        <v>118</v>
      </c>
      <c r="AR423" s="119" t="s">
        <v>124</v>
      </c>
      <c r="AS423" s="119" t="s">
        <v>123</v>
      </c>
      <c r="AT423" s="8"/>
      <c r="AU423" s="8">
        <f t="shared" si="42"/>
        <v>16</v>
      </c>
      <c r="AV423" s="8">
        <f t="shared" si="43"/>
        <v>512</v>
      </c>
      <c r="AW423" s="8">
        <f t="shared" si="44"/>
        <v>2</v>
      </c>
      <c r="AX423" s="8">
        <f t="shared" si="45"/>
        <v>1</v>
      </c>
      <c r="AY423" s="8">
        <f t="shared" si="46"/>
        <v>256</v>
      </c>
      <c r="AZ423" s="8">
        <f t="shared" si="47"/>
        <v>32</v>
      </c>
      <c r="BA423" s="8">
        <f t="shared" si="48"/>
        <v>2048</v>
      </c>
      <c r="BB423" s="8">
        <f t="shared" si="49"/>
        <v>1024</v>
      </c>
      <c r="BC423" s="8">
        <f t="shared" si="50"/>
        <v>3891</v>
      </c>
      <c r="BD423" s="8"/>
      <c r="BE423" s="8"/>
      <c r="BF423" s="8"/>
      <c r="BG423" s="8"/>
      <c r="BH423" s="8"/>
    </row>
    <row r="424" spans="2:60">
      <c r="B424" s="11"/>
      <c r="C424" s="12"/>
      <c r="D424" s="8"/>
      <c r="E424" s="13"/>
      <c r="F424" s="14"/>
      <c r="G424" s="13"/>
      <c r="H424" s="15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2">
        <v>3763</v>
      </c>
      <c r="AK424" s="118">
        <v>300</v>
      </c>
      <c r="AL424" s="119" t="s">
        <v>117</v>
      </c>
      <c r="AM424" s="119" t="s">
        <v>122</v>
      </c>
      <c r="AN424" s="119" t="s">
        <v>114</v>
      </c>
      <c r="AO424" s="119" t="s">
        <v>118</v>
      </c>
      <c r="AP424" s="119" t="s">
        <v>113</v>
      </c>
      <c r="AQ424" s="119" t="s">
        <v>120</v>
      </c>
      <c r="AR424" s="119" t="s">
        <v>124</v>
      </c>
      <c r="AS424" s="119" t="s">
        <v>123</v>
      </c>
      <c r="AT424" s="8"/>
      <c r="AU424" s="8">
        <f t="shared" si="42"/>
        <v>16</v>
      </c>
      <c r="AV424" s="8">
        <f t="shared" si="43"/>
        <v>512</v>
      </c>
      <c r="AW424" s="8">
        <f t="shared" si="44"/>
        <v>2</v>
      </c>
      <c r="AX424" s="8">
        <f t="shared" si="45"/>
        <v>32</v>
      </c>
      <c r="AY424" s="8">
        <f t="shared" si="46"/>
        <v>1</v>
      </c>
      <c r="AZ424" s="8">
        <f t="shared" si="47"/>
        <v>128</v>
      </c>
      <c r="BA424" s="8">
        <f t="shared" si="48"/>
        <v>2048</v>
      </c>
      <c r="BB424" s="8">
        <f t="shared" si="49"/>
        <v>1024</v>
      </c>
      <c r="BC424" s="8">
        <f t="shared" si="50"/>
        <v>3763</v>
      </c>
      <c r="BD424" s="8"/>
      <c r="BE424" s="8"/>
      <c r="BF424" s="8"/>
      <c r="BG424" s="8"/>
      <c r="BH424" s="8"/>
    </row>
    <row r="425" spans="2:60">
      <c r="B425" s="11"/>
      <c r="C425" s="12"/>
      <c r="D425" s="8"/>
      <c r="E425" s="13"/>
      <c r="F425" s="14"/>
      <c r="G425" s="13"/>
      <c r="H425" s="15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2">
        <v>3507</v>
      </c>
      <c r="AK425" s="118">
        <v>301</v>
      </c>
      <c r="AL425" s="119" t="s">
        <v>117</v>
      </c>
      <c r="AM425" s="119" t="s">
        <v>121</v>
      </c>
      <c r="AN425" s="119" t="s">
        <v>114</v>
      </c>
      <c r="AO425" s="119" t="s">
        <v>118</v>
      </c>
      <c r="AP425" s="119" t="s">
        <v>113</v>
      </c>
      <c r="AQ425" s="119" t="s">
        <v>120</v>
      </c>
      <c r="AR425" s="119" t="s">
        <v>124</v>
      </c>
      <c r="AS425" s="119" t="s">
        <v>123</v>
      </c>
      <c r="AT425" s="8"/>
      <c r="AU425" s="8">
        <f t="shared" si="42"/>
        <v>16</v>
      </c>
      <c r="AV425" s="8">
        <f t="shared" si="43"/>
        <v>256</v>
      </c>
      <c r="AW425" s="8">
        <f t="shared" si="44"/>
        <v>2</v>
      </c>
      <c r="AX425" s="8">
        <f t="shared" si="45"/>
        <v>32</v>
      </c>
      <c r="AY425" s="8">
        <f t="shared" si="46"/>
        <v>1</v>
      </c>
      <c r="AZ425" s="8">
        <f t="shared" si="47"/>
        <v>128</v>
      </c>
      <c r="BA425" s="8">
        <f t="shared" si="48"/>
        <v>2048</v>
      </c>
      <c r="BB425" s="8">
        <f t="shared" si="49"/>
        <v>1024</v>
      </c>
      <c r="BC425" s="8">
        <f t="shared" si="50"/>
        <v>3507</v>
      </c>
      <c r="BD425" s="8"/>
      <c r="BE425" s="8"/>
      <c r="BF425" s="8"/>
      <c r="BG425" s="8"/>
      <c r="BH425" s="8"/>
    </row>
    <row r="426" spans="2:60">
      <c r="B426" s="11"/>
      <c r="C426" s="12"/>
      <c r="D426" s="8"/>
      <c r="E426" s="13"/>
      <c r="F426" s="14"/>
      <c r="G426" s="13"/>
      <c r="H426" s="15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2">
        <v>2995</v>
      </c>
      <c r="AK426" s="118">
        <v>302</v>
      </c>
      <c r="AL426" s="119" t="s">
        <v>117</v>
      </c>
      <c r="AM426" s="119" t="s">
        <v>122</v>
      </c>
      <c r="AN426" s="119" t="s">
        <v>114</v>
      </c>
      <c r="AO426" s="119" t="s">
        <v>118</v>
      </c>
      <c r="AP426" s="119" t="s">
        <v>113</v>
      </c>
      <c r="AQ426" s="119" t="s">
        <v>120</v>
      </c>
      <c r="AR426" s="119" t="s">
        <v>124</v>
      </c>
      <c r="AS426" s="119" t="s">
        <v>121</v>
      </c>
      <c r="AT426" s="8"/>
      <c r="AU426" s="8">
        <f t="shared" si="42"/>
        <v>16</v>
      </c>
      <c r="AV426" s="8">
        <f t="shared" si="43"/>
        <v>512</v>
      </c>
      <c r="AW426" s="8">
        <f t="shared" si="44"/>
        <v>2</v>
      </c>
      <c r="AX426" s="8">
        <f t="shared" si="45"/>
        <v>32</v>
      </c>
      <c r="AY426" s="8">
        <f t="shared" si="46"/>
        <v>1</v>
      </c>
      <c r="AZ426" s="8">
        <f t="shared" si="47"/>
        <v>128</v>
      </c>
      <c r="BA426" s="8">
        <f t="shared" si="48"/>
        <v>2048</v>
      </c>
      <c r="BB426" s="8">
        <f t="shared" si="49"/>
        <v>256</v>
      </c>
      <c r="BC426" s="8">
        <f t="shared" si="50"/>
        <v>2995</v>
      </c>
      <c r="BD426" s="8"/>
      <c r="BE426" s="8"/>
      <c r="BF426" s="8"/>
      <c r="BG426" s="8"/>
      <c r="BH426" s="8"/>
    </row>
    <row r="427" spans="2:60">
      <c r="B427" s="11"/>
      <c r="C427" s="12"/>
      <c r="D427" s="8"/>
      <c r="E427" s="13"/>
      <c r="F427" s="14"/>
      <c r="G427" s="13"/>
      <c r="H427" s="15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2">
        <v>1971</v>
      </c>
      <c r="AK427" s="118">
        <v>303</v>
      </c>
      <c r="AL427" s="119" t="s">
        <v>117</v>
      </c>
      <c r="AM427" s="119" t="s">
        <v>122</v>
      </c>
      <c r="AN427" s="119" t="s">
        <v>114</v>
      </c>
      <c r="AO427" s="119" t="s">
        <v>118</v>
      </c>
      <c r="AP427" s="119" t="s">
        <v>113</v>
      </c>
      <c r="AQ427" s="119" t="s">
        <v>120</v>
      </c>
      <c r="AR427" s="119" t="s">
        <v>121</v>
      </c>
      <c r="AS427" s="119" t="s">
        <v>123</v>
      </c>
      <c r="AT427" s="8"/>
      <c r="AU427" s="8">
        <f t="shared" si="42"/>
        <v>16</v>
      </c>
      <c r="AV427" s="8">
        <f t="shared" si="43"/>
        <v>512</v>
      </c>
      <c r="AW427" s="8">
        <f t="shared" si="44"/>
        <v>2</v>
      </c>
      <c r="AX427" s="8">
        <f t="shared" si="45"/>
        <v>32</v>
      </c>
      <c r="AY427" s="8">
        <f t="shared" si="46"/>
        <v>1</v>
      </c>
      <c r="AZ427" s="8">
        <f t="shared" si="47"/>
        <v>128</v>
      </c>
      <c r="BA427" s="8">
        <f t="shared" si="48"/>
        <v>256</v>
      </c>
      <c r="BB427" s="8">
        <f t="shared" si="49"/>
        <v>1024</v>
      </c>
      <c r="BC427" s="8">
        <f t="shared" si="50"/>
        <v>1971</v>
      </c>
      <c r="BD427" s="8"/>
      <c r="BE427" s="8"/>
      <c r="BF427" s="8"/>
      <c r="BG427" s="8"/>
      <c r="BH427" s="8"/>
    </row>
    <row r="428" spans="2:60">
      <c r="B428" s="11"/>
      <c r="C428" s="12"/>
      <c r="D428" s="8"/>
      <c r="E428" s="13"/>
      <c r="F428" s="14"/>
      <c r="G428" s="13"/>
      <c r="H428" s="15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2">
        <v>3699</v>
      </c>
      <c r="AK428" s="118">
        <v>304</v>
      </c>
      <c r="AL428" s="119" t="s">
        <v>117</v>
      </c>
      <c r="AM428" s="119" t="s">
        <v>122</v>
      </c>
      <c r="AN428" s="119" t="s">
        <v>114</v>
      </c>
      <c r="AO428" s="119" t="s">
        <v>118</v>
      </c>
      <c r="AP428" s="119" t="s">
        <v>113</v>
      </c>
      <c r="AQ428" s="119" t="s">
        <v>119</v>
      </c>
      <c r="AR428" s="119" t="s">
        <v>124</v>
      </c>
      <c r="AS428" s="119" t="s">
        <v>123</v>
      </c>
      <c r="AT428" s="8"/>
      <c r="AU428" s="8">
        <f t="shared" si="42"/>
        <v>16</v>
      </c>
      <c r="AV428" s="8">
        <f t="shared" si="43"/>
        <v>512</v>
      </c>
      <c r="AW428" s="8">
        <f t="shared" si="44"/>
        <v>2</v>
      </c>
      <c r="AX428" s="8">
        <f t="shared" si="45"/>
        <v>32</v>
      </c>
      <c r="AY428" s="8">
        <f t="shared" si="46"/>
        <v>1</v>
      </c>
      <c r="AZ428" s="8">
        <f t="shared" si="47"/>
        <v>64</v>
      </c>
      <c r="BA428" s="8">
        <f t="shared" si="48"/>
        <v>2048</v>
      </c>
      <c r="BB428" s="8">
        <f t="shared" si="49"/>
        <v>1024</v>
      </c>
      <c r="BC428" s="8">
        <f t="shared" si="50"/>
        <v>3699</v>
      </c>
      <c r="BD428" s="8"/>
      <c r="BE428" s="8"/>
      <c r="BF428" s="8"/>
      <c r="BG428" s="8"/>
      <c r="BH428" s="8"/>
    </row>
    <row r="429" spans="2:60">
      <c r="B429" s="11"/>
      <c r="C429" s="12"/>
      <c r="D429" s="8"/>
      <c r="E429" s="13"/>
      <c r="F429" s="14"/>
      <c r="G429" s="13"/>
      <c r="H429" s="15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2">
        <v>3443</v>
      </c>
      <c r="AK429" s="118">
        <v>305</v>
      </c>
      <c r="AL429" s="119" t="s">
        <v>117</v>
      </c>
      <c r="AM429" s="119" t="s">
        <v>119</v>
      </c>
      <c r="AN429" s="119" t="s">
        <v>114</v>
      </c>
      <c r="AO429" s="119" t="s">
        <v>113</v>
      </c>
      <c r="AP429" s="119" t="s">
        <v>121</v>
      </c>
      <c r="AQ429" s="119" t="s">
        <v>118</v>
      </c>
      <c r="AR429" s="119" t="s">
        <v>124</v>
      </c>
      <c r="AS429" s="119" t="s">
        <v>123</v>
      </c>
      <c r="AT429" s="8"/>
      <c r="AU429" s="8">
        <f t="shared" si="42"/>
        <v>16</v>
      </c>
      <c r="AV429" s="8">
        <f t="shared" si="43"/>
        <v>64</v>
      </c>
      <c r="AW429" s="8">
        <f t="shared" si="44"/>
        <v>2</v>
      </c>
      <c r="AX429" s="8">
        <f t="shared" si="45"/>
        <v>1</v>
      </c>
      <c r="AY429" s="8">
        <f t="shared" si="46"/>
        <v>256</v>
      </c>
      <c r="AZ429" s="8">
        <f t="shared" si="47"/>
        <v>32</v>
      </c>
      <c r="BA429" s="8">
        <f t="shared" si="48"/>
        <v>2048</v>
      </c>
      <c r="BB429" s="8">
        <f t="shared" si="49"/>
        <v>1024</v>
      </c>
      <c r="BC429" s="8">
        <f t="shared" si="50"/>
        <v>3443</v>
      </c>
      <c r="BD429" s="8"/>
      <c r="BE429" s="8"/>
      <c r="BF429" s="8"/>
      <c r="BG429" s="8"/>
      <c r="BH429" s="8"/>
    </row>
    <row r="430" spans="2:60">
      <c r="B430" s="11"/>
      <c r="C430" s="12"/>
      <c r="D430" s="8"/>
      <c r="E430" s="13"/>
      <c r="F430" s="14"/>
      <c r="G430" s="13"/>
      <c r="H430" s="15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2">
        <v>2931</v>
      </c>
      <c r="AK430" s="118">
        <v>306</v>
      </c>
      <c r="AL430" s="119" t="s">
        <v>117</v>
      </c>
      <c r="AM430" s="119" t="s">
        <v>122</v>
      </c>
      <c r="AN430" s="119" t="s">
        <v>114</v>
      </c>
      <c r="AO430" s="119" t="s">
        <v>118</v>
      </c>
      <c r="AP430" s="119" t="s">
        <v>113</v>
      </c>
      <c r="AQ430" s="119" t="s">
        <v>119</v>
      </c>
      <c r="AR430" s="119" t="s">
        <v>124</v>
      </c>
      <c r="AS430" s="119" t="s">
        <v>121</v>
      </c>
      <c r="AT430" s="8"/>
      <c r="AU430" s="8">
        <f t="shared" si="42"/>
        <v>16</v>
      </c>
      <c r="AV430" s="8">
        <f t="shared" si="43"/>
        <v>512</v>
      </c>
      <c r="AW430" s="8">
        <f t="shared" si="44"/>
        <v>2</v>
      </c>
      <c r="AX430" s="8">
        <f t="shared" si="45"/>
        <v>32</v>
      </c>
      <c r="AY430" s="8">
        <f t="shared" si="46"/>
        <v>1</v>
      </c>
      <c r="AZ430" s="8">
        <f t="shared" si="47"/>
        <v>64</v>
      </c>
      <c r="BA430" s="8">
        <f t="shared" si="48"/>
        <v>2048</v>
      </c>
      <c r="BB430" s="8">
        <f t="shared" si="49"/>
        <v>256</v>
      </c>
      <c r="BC430" s="8">
        <f t="shared" si="50"/>
        <v>2931</v>
      </c>
      <c r="BD430" s="8"/>
      <c r="BE430" s="8"/>
      <c r="BF430" s="8"/>
      <c r="BG430" s="8"/>
      <c r="BH430" s="8"/>
    </row>
    <row r="431" spans="2:60">
      <c r="B431" s="11"/>
      <c r="C431" s="12"/>
      <c r="D431" s="8"/>
      <c r="E431" s="13"/>
      <c r="F431" s="14"/>
      <c r="G431" s="13"/>
      <c r="H431" s="15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2">
        <v>1907</v>
      </c>
      <c r="AK431" s="118">
        <v>307</v>
      </c>
      <c r="AL431" s="119" t="s">
        <v>117</v>
      </c>
      <c r="AM431" s="119" t="s">
        <v>122</v>
      </c>
      <c r="AN431" s="119" t="s">
        <v>114</v>
      </c>
      <c r="AO431" s="119" t="s">
        <v>118</v>
      </c>
      <c r="AP431" s="119" t="s">
        <v>113</v>
      </c>
      <c r="AQ431" s="119" t="s">
        <v>119</v>
      </c>
      <c r="AR431" s="119" t="s">
        <v>121</v>
      </c>
      <c r="AS431" s="119" t="s">
        <v>123</v>
      </c>
      <c r="AT431" s="8"/>
      <c r="AU431" s="8">
        <f t="shared" si="42"/>
        <v>16</v>
      </c>
      <c r="AV431" s="8">
        <f t="shared" si="43"/>
        <v>512</v>
      </c>
      <c r="AW431" s="8">
        <f t="shared" si="44"/>
        <v>2</v>
      </c>
      <c r="AX431" s="8">
        <f t="shared" si="45"/>
        <v>32</v>
      </c>
      <c r="AY431" s="8">
        <f t="shared" si="46"/>
        <v>1</v>
      </c>
      <c r="AZ431" s="8">
        <f t="shared" si="47"/>
        <v>64</v>
      </c>
      <c r="BA431" s="8">
        <f t="shared" si="48"/>
        <v>256</v>
      </c>
      <c r="BB431" s="8">
        <f t="shared" si="49"/>
        <v>1024</v>
      </c>
      <c r="BC431" s="8">
        <f t="shared" si="50"/>
        <v>1907</v>
      </c>
      <c r="BD431" s="8"/>
      <c r="BE431" s="8"/>
      <c r="BF431" s="8"/>
      <c r="BG431" s="8"/>
      <c r="BH431" s="8"/>
    </row>
    <row r="432" spans="2:60">
      <c r="B432" s="11"/>
      <c r="C432" s="12"/>
      <c r="D432" s="8"/>
      <c r="E432" s="13"/>
      <c r="F432" s="14"/>
      <c r="G432" s="13"/>
      <c r="H432" s="15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2">
        <v>3315</v>
      </c>
      <c r="AK432" s="118">
        <v>308</v>
      </c>
      <c r="AL432" s="119" t="s">
        <v>117</v>
      </c>
      <c r="AM432" s="119" t="s">
        <v>119</v>
      </c>
      <c r="AN432" s="119" t="s">
        <v>114</v>
      </c>
      <c r="AO432" s="119" t="s">
        <v>118</v>
      </c>
      <c r="AP432" s="119" t="s">
        <v>113</v>
      </c>
      <c r="AQ432" s="119" t="s">
        <v>120</v>
      </c>
      <c r="AR432" s="119" t="s">
        <v>124</v>
      </c>
      <c r="AS432" s="119" t="s">
        <v>123</v>
      </c>
      <c r="AT432" s="8"/>
      <c r="AU432" s="8">
        <f t="shared" si="42"/>
        <v>16</v>
      </c>
      <c r="AV432" s="8">
        <f t="shared" si="43"/>
        <v>64</v>
      </c>
      <c r="AW432" s="8">
        <f t="shared" si="44"/>
        <v>2</v>
      </c>
      <c r="AX432" s="8">
        <f t="shared" si="45"/>
        <v>32</v>
      </c>
      <c r="AY432" s="8">
        <f t="shared" si="46"/>
        <v>1</v>
      </c>
      <c r="AZ432" s="8">
        <f t="shared" si="47"/>
        <v>128</v>
      </c>
      <c r="BA432" s="8">
        <f t="shared" si="48"/>
        <v>2048</v>
      </c>
      <c r="BB432" s="8">
        <f t="shared" si="49"/>
        <v>1024</v>
      </c>
      <c r="BC432" s="8">
        <f t="shared" si="50"/>
        <v>3315</v>
      </c>
      <c r="BD432" s="8"/>
      <c r="BE432" s="8"/>
      <c r="BF432" s="8"/>
      <c r="BG432" s="8"/>
      <c r="BH432" s="8"/>
    </row>
    <row r="433" spans="2:60">
      <c r="B433" s="11"/>
      <c r="C433" s="12"/>
      <c r="D433" s="8"/>
      <c r="E433" s="13"/>
      <c r="F433" s="14"/>
      <c r="G433" s="13"/>
      <c r="H433" s="15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2">
        <v>2803</v>
      </c>
      <c r="AK433" s="118">
        <v>309</v>
      </c>
      <c r="AL433" s="119" t="s">
        <v>120</v>
      </c>
      <c r="AM433" s="119" t="s">
        <v>122</v>
      </c>
      <c r="AN433" s="119" t="s">
        <v>114</v>
      </c>
      <c r="AO433" s="119" t="s">
        <v>118</v>
      </c>
      <c r="AP433" s="119" t="s">
        <v>113</v>
      </c>
      <c r="AQ433" s="119" t="s">
        <v>119</v>
      </c>
      <c r="AR433" s="119" t="s">
        <v>124</v>
      </c>
      <c r="AS433" s="119" t="s">
        <v>117</v>
      </c>
      <c r="AT433" s="8"/>
      <c r="AU433" s="8">
        <f t="shared" si="42"/>
        <v>128</v>
      </c>
      <c r="AV433" s="8">
        <f t="shared" si="43"/>
        <v>512</v>
      </c>
      <c r="AW433" s="8">
        <f t="shared" si="44"/>
        <v>2</v>
      </c>
      <c r="AX433" s="8">
        <f t="shared" si="45"/>
        <v>32</v>
      </c>
      <c r="AY433" s="8">
        <f t="shared" si="46"/>
        <v>1</v>
      </c>
      <c r="AZ433" s="8">
        <f t="shared" si="47"/>
        <v>64</v>
      </c>
      <c r="BA433" s="8">
        <f t="shared" si="48"/>
        <v>2048</v>
      </c>
      <c r="BB433" s="8">
        <f t="shared" si="49"/>
        <v>16</v>
      </c>
      <c r="BC433" s="8">
        <f t="shared" si="50"/>
        <v>2803</v>
      </c>
      <c r="BD433" s="8"/>
      <c r="BE433" s="8"/>
      <c r="BF433" s="8"/>
      <c r="BG433" s="8"/>
      <c r="BH433" s="8"/>
    </row>
    <row r="434" spans="2:60">
      <c r="B434" s="11"/>
      <c r="C434" s="12"/>
      <c r="D434" s="8"/>
      <c r="E434" s="13"/>
      <c r="F434" s="14"/>
      <c r="G434" s="13"/>
      <c r="H434" s="15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2">
        <v>1779</v>
      </c>
      <c r="AK434" s="118">
        <v>310</v>
      </c>
      <c r="AL434" s="119" t="s">
        <v>120</v>
      </c>
      <c r="AM434" s="119" t="s">
        <v>122</v>
      </c>
      <c r="AN434" s="119" t="s">
        <v>114</v>
      </c>
      <c r="AO434" s="119" t="s">
        <v>118</v>
      </c>
      <c r="AP434" s="119" t="s">
        <v>113</v>
      </c>
      <c r="AQ434" s="119" t="s">
        <v>119</v>
      </c>
      <c r="AR434" s="119" t="s">
        <v>117</v>
      </c>
      <c r="AS434" s="119" t="s">
        <v>123</v>
      </c>
      <c r="AT434" s="8"/>
      <c r="AU434" s="8">
        <f t="shared" si="42"/>
        <v>128</v>
      </c>
      <c r="AV434" s="8">
        <f t="shared" si="43"/>
        <v>512</v>
      </c>
      <c r="AW434" s="8">
        <f t="shared" si="44"/>
        <v>2</v>
      </c>
      <c r="AX434" s="8">
        <f t="shared" si="45"/>
        <v>32</v>
      </c>
      <c r="AY434" s="8">
        <f t="shared" si="46"/>
        <v>1</v>
      </c>
      <c r="AZ434" s="8">
        <f t="shared" si="47"/>
        <v>64</v>
      </c>
      <c r="BA434" s="8">
        <f t="shared" si="48"/>
        <v>16</v>
      </c>
      <c r="BB434" s="8">
        <f t="shared" si="49"/>
        <v>1024</v>
      </c>
      <c r="BC434" s="8">
        <f t="shared" si="50"/>
        <v>1779</v>
      </c>
      <c r="BD434" s="8"/>
      <c r="BE434" s="8"/>
      <c r="BF434" s="8"/>
      <c r="BG434" s="8"/>
      <c r="BH434" s="8"/>
    </row>
    <row r="435" spans="2:60">
      <c r="B435" s="11"/>
      <c r="C435" s="12"/>
      <c r="D435" s="8"/>
      <c r="E435" s="13"/>
      <c r="F435" s="14"/>
      <c r="G435" s="13"/>
      <c r="H435" s="15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2">
        <v>2547</v>
      </c>
      <c r="AK435" s="118">
        <v>311</v>
      </c>
      <c r="AL435" s="119" t="s">
        <v>117</v>
      </c>
      <c r="AM435" s="119" t="s">
        <v>119</v>
      </c>
      <c r="AN435" s="119" t="s">
        <v>114</v>
      </c>
      <c r="AO435" s="119" t="s">
        <v>118</v>
      </c>
      <c r="AP435" s="119" t="s">
        <v>113</v>
      </c>
      <c r="AQ435" s="119" t="s">
        <v>120</v>
      </c>
      <c r="AR435" s="119" t="s">
        <v>124</v>
      </c>
      <c r="AS435" s="119" t="s">
        <v>121</v>
      </c>
      <c r="AT435" s="8"/>
      <c r="AU435" s="8">
        <f t="shared" si="42"/>
        <v>16</v>
      </c>
      <c r="AV435" s="8">
        <f t="shared" si="43"/>
        <v>64</v>
      </c>
      <c r="AW435" s="8">
        <f t="shared" si="44"/>
        <v>2</v>
      </c>
      <c r="AX435" s="8">
        <f t="shared" si="45"/>
        <v>32</v>
      </c>
      <c r="AY435" s="8">
        <f t="shared" si="46"/>
        <v>1</v>
      </c>
      <c r="AZ435" s="8">
        <f t="shared" si="47"/>
        <v>128</v>
      </c>
      <c r="BA435" s="8">
        <f t="shared" si="48"/>
        <v>2048</v>
      </c>
      <c r="BB435" s="8">
        <f t="shared" si="49"/>
        <v>256</v>
      </c>
      <c r="BC435" s="8">
        <f t="shared" si="50"/>
        <v>2547</v>
      </c>
      <c r="BD435" s="8"/>
      <c r="BE435" s="8"/>
      <c r="BF435" s="8"/>
      <c r="BG435" s="8"/>
      <c r="BH435" s="8"/>
    </row>
    <row r="436" spans="2:60">
      <c r="B436" s="11"/>
      <c r="C436" s="12"/>
      <c r="D436" s="8"/>
      <c r="E436" s="13"/>
      <c r="F436" s="14"/>
      <c r="G436" s="13"/>
      <c r="H436" s="15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2">
        <v>1523</v>
      </c>
      <c r="AK436" s="118">
        <v>312</v>
      </c>
      <c r="AL436" s="119" t="s">
        <v>117</v>
      </c>
      <c r="AM436" s="119" t="s">
        <v>119</v>
      </c>
      <c r="AN436" s="119" t="s">
        <v>114</v>
      </c>
      <c r="AO436" s="119" t="s">
        <v>118</v>
      </c>
      <c r="AP436" s="119" t="s">
        <v>113</v>
      </c>
      <c r="AQ436" s="119" t="s">
        <v>120</v>
      </c>
      <c r="AR436" s="119" t="s">
        <v>121</v>
      </c>
      <c r="AS436" s="119" t="s">
        <v>123</v>
      </c>
      <c r="AT436" s="8"/>
      <c r="AU436" s="8">
        <f t="shared" si="42"/>
        <v>16</v>
      </c>
      <c r="AV436" s="8">
        <f t="shared" si="43"/>
        <v>64</v>
      </c>
      <c r="AW436" s="8">
        <f t="shared" si="44"/>
        <v>2</v>
      </c>
      <c r="AX436" s="8">
        <f t="shared" si="45"/>
        <v>32</v>
      </c>
      <c r="AY436" s="8">
        <f t="shared" si="46"/>
        <v>1</v>
      </c>
      <c r="AZ436" s="8">
        <f t="shared" si="47"/>
        <v>128</v>
      </c>
      <c r="BA436" s="8">
        <f t="shared" si="48"/>
        <v>256</v>
      </c>
      <c r="BB436" s="8">
        <f t="shared" si="49"/>
        <v>1024</v>
      </c>
      <c r="BC436" s="8">
        <f t="shared" si="50"/>
        <v>1523</v>
      </c>
      <c r="BD436" s="8"/>
      <c r="BE436" s="8"/>
      <c r="BF436" s="8"/>
      <c r="BG436" s="8"/>
      <c r="BH436" s="8"/>
    </row>
    <row r="437" spans="2:60">
      <c r="B437" s="11"/>
      <c r="C437" s="12"/>
      <c r="D437" s="8"/>
      <c r="E437" s="13"/>
      <c r="F437" s="14"/>
      <c r="G437" s="13"/>
      <c r="H437" s="15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2">
        <v>1011</v>
      </c>
      <c r="AK437" s="118">
        <v>313</v>
      </c>
      <c r="AL437" s="119" t="s">
        <v>120</v>
      </c>
      <c r="AM437" s="119" t="s">
        <v>122</v>
      </c>
      <c r="AN437" s="119" t="s">
        <v>114</v>
      </c>
      <c r="AO437" s="119" t="s">
        <v>118</v>
      </c>
      <c r="AP437" s="119" t="s">
        <v>113</v>
      </c>
      <c r="AQ437" s="119" t="s">
        <v>119</v>
      </c>
      <c r="AR437" s="119" t="s">
        <v>117</v>
      </c>
      <c r="AS437" s="119" t="s">
        <v>121</v>
      </c>
      <c r="AT437" s="8"/>
      <c r="AU437" s="8">
        <f t="shared" si="42"/>
        <v>128</v>
      </c>
      <c r="AV437" s="8">
        <f t="shared" si="43"/>
        <v>512</v>
      </c>
      <c r="AW437" s="8">
        <f t="shared" si="44"/>
        <v>2</v>
      </c>
      <c r="AX437" s="8">
        <f t="shared" si="45"/>
        <v>32</v>
      </c>
      <c r="AY437" s="8">
        <f t="shared" si="46"/>
        <v>1</v>
      </c>
      <c r="AZ437" s="8">
        <f t="shared" si="47"/>
        <v>64</v>
      </c>
      <c r="BA437" s="8">
        <f t="shared" si="48"/>
        <v>16</v>
      </c>
      <c r="BB437" s="8">
        <f t="shared" si="49"/>
        <v>256</v>
      </c>
      <c r="BC437" s="8">
        <f t="shared" si="50"/>
        <v>1011</v>
      </c>
      <c r="BD437" s="8"/>
      <c r="BE437" s="8"/>
      <c r="BF437" s="8"/>
      <c r="BG437" s="8"/>
      <c r="BH437" s="8"/>
    </row>
    <row r="438" spans="2:60">
      <c r="B438" s="11"/>
      <c r="C438" s="12"/>
      <c r="D438" s="8"/>
      <c r="E438" s="13"/>
      <c r="F438" s="14"/>
      <c r="G438" s="13"/>
      <c r="H438" s="15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2">
        <v>3979</v>
      </c>
      <c r="AK438" s="118">
        <v>314</v>
      </c>
      <c r="AL438" s="119" t="s">
        <v>121</v>
      </c>
      <c r="AM438" s="119" t="s">
        <v>122</v>
      </c>
      <c r="AN438" s="119" t="s">
        <v>114</v>
      </c>
      <c r="AO438" s="119" t="s">
        <v>116</v>
      </c>
      <c r="AP438" s="119" t="s">
        <v>113</v>
      </c>
      <c r="AQ438" s="119" t="s">
        <v>120</v>
      </c>
      <c r="AR438" s="119" t="s">
        <v>124</v>
      </c>
      <c r="AS438" s="119" t="s">
        <v>123</v>
      </c>
      <c r="AT438" s="8"/>
      <c r="AU438" s="8">
        <f t="shared" si="42"/>
        <v>256</v>
      </c>
      <c r="AV438" s="8">
        <f t="shared" si="43"/>
        <v>512</v>
      </c>
      <c r="AW438" s="8">
        <f t="shared" si="44"/>
        <v>2</v>
      </c>
      <c r="AX438" s="8">
        <f t="shared" si="45"/>
        <v>8</v>
      </c>
      <c r="AY438" s="8">
        <f t="shared" si="46"/>
        <v>1</v>
      </c>
      <c r="AZ438" s="8">
        <f t="shared" si="47"/>
        <v>128</v>
      </c>
      <c r="BA438" s="8">
        <f t="shared" si="48"/>
        <v>2048</v>
      </c>
      <c r="BB438" s="8">
        <f t="shared" si="49"/>
        <v>1024</v>
      </c>
      <c r="BC438" s="8">
        <f t="shared" si="50"/>
        <v>3979</v>
      </c>
      <c r="BD438" s="8"/>
      <c r="BE438" s="8"/>
      <c r="BF438" s="8"/>
      <c r="BG438" s="8"/>
      <c r="BH438" s="8"/>
    </row>
    <row r="439" spans="2:60">
      <c r="B439" s="11"/>
      <c r="C439" s="12"/>
      <c r="D439" s="8"/>
      <c r="E439" s="13"/>
      <c r="F439" s="14"/>
      <c r="G439" s="13"/>
      <c r="H439" s="15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2">
        <v>3915</v>
      </c>
      <c r="AK439" s="118">
        <v>315</v>
      </c>
      <c r="AL439" s="119" t="s">
        <v>121</v>
      </c>
      <c r="AM439" s="119" t="s">
        <v>122</v>
      </c>
      <c r="AN439" s="119" t="s">
        <v>114</v>
      </c>
      <c r="AO439" s="119" t="s">
        <v>116</v>
      </c>
      <c r="AP439" s="119" t="s">
        <v>113</v>
      </c>
      <c r="AQ439" s="119" t="s">
        <v>119</v>
      </c>
      <c r="AR439" s="119" t="s">
        <v>124</v>
      </c>
      <c r="AS439" s="119" t="s">
        <v>123</v>
      </c>
      <c r="AT439" s="8"/>
      <c r="AU439" s="8">
        <f t="shared" si="42"/>
        <v>256</v>
      </c>
      <c r="AV439" s="8">
        <f t="shared" si="43"/>
        <v>512</v>
      </c>
      <c r="AW439" s="8">
        <f t="shared" si="44"/>
        <v>2</v>
      </c>
      <c r="AX439" s="8">
        <f t="shared" si="45"/>
        <v>8</v>
      </c>
      <c r="AY439" s="8">
        <f t="shared" si="46"/>
        <v>1</v>
      </c>
      <c r="AZ439" s="8">
        <f t="shared" si="47"/>
        <v>64</v>
      </c>
      <c r="BA439" s="8">
        <f t="shared" si="48"/>
        <v>2048</v>
      </c>
      <c r="BB439" s="8">
        <f t="shared" si="49"/>
        <v>1024</v>
      </c>
      <c r="BC439" s="8">
        <f t="shared" si="50"/>
        <v>3915</v>
      </c>
      <c r="BD439" s="8"/>
      <c r="BE439" s="8"/>
      <c r="BF439" s="8"/>
      <c r="BG439" s="8"/>
      <c r="BH439" s="8"/>
    </row>
    <row r="440" spans="2:60">
      <c r="B440" s="11"/>
      <c r="C440" s="12"/>
      <c r="D440" s="8"/>
      <c r="E440" s="13"/>
      <c r="F440" s="14"/>
      <c r="G440" s="13"/>
      <c r="H440" s="15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2">
        <v>3787</v>
      </c>
      <c r="AK440" s="118">
        <v>316</v>
      </c>
      <c r="AL440" s="119" t="s">
        <v>120</v>
      </c>
      <c r="AM440" s="119" t="s">
        <v>122</v>
      </c>
      <c r="AN440" s="119" t="s">
        <v>114</v>
      </c>
      <c r="AO440" s="119" t="s">
        <v>116</v>
      </c>
      <c r="AP440" s="119" t="s">
        <v>113</v>
      </c>
      <c r="AQ440" s="119" t="s">
        <v>119</v>
      </c>
      <c r="AR440" s="119" t="s">
        <v>124</v>
      </c>
      <c r="AS440" s="119" t="s">
        <v>123</v>
      </c>
      <c r="AT440" s="8"/>
      <c r="AU440" s="8">
        <f t="shared" si="42"/>
        <v>128</v>
      </c>
      <c r="AV440" s="8">
        <f t="shared" si="43"/>
        <v>512</v>
      </c>
      <c r="AW440" s="8">
        <f t="shared" si="44"/>
        <v>2</v>
      </c>
      <c r="AX440" s="8">
        <f t="shared" si="45"/>
        <v>8</v>
      </c>
      <c r="AY440" s="8">
        <f t="shared" si="46"/>
        <v>1</v>
      </c>
      <c r="AZ440" s="8">
        <f t="shared" si="47"/>
        <v>64</v>
      </c>
      <c r="BA440" s="8">
        <f t="shared" si="48"/>
        <v>2048</v>
      </c>
      <c r="BB440" s="8">
        <f t="shared" si="49"/>
        <v>1024</v>
      </c>
      <c r="BC440" s="8">
        <f t="shared" si="50"/>
        <v>3787</v>
      </c>
      <c r="BD440" s="8"/>
      <c r="BE440" s="8"/>
      <c r="BF440" s="8"/>
      <c r="BG440" s="8"/>
      <c r="BH440" s="8"/>
    </row>
    <row r="441" spans="2:60">
      <c r="B441" s="11"/>
      <c r="C441" s="12"/>
      <c r="D441" s="8"/>
      <c r="E441" s="13"/>
      <c r="F441" s="14"/>
      <c r="G441" s="13"/>
      <c r="H441" s="15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2">
        <v>3531</v>
      </c>
      <c r="AK441" s="118">
        <v>317</v>
      </c>
      <c r="AL441" s="119" t="s">
        <v>121</v>
      </c>
      <c r="AM441" s="119" t="s">
        <v>119</v>
      </c>
      <c r="AN441" s="119" t="s">
        <v>114</v>
      </c>
      <c r="AO441" s="119" t="s">
        <v>116</v>
      </c>
      <c r="AP441" s="119" t="s">
        <v>113</v>
      </c>
      <c r="AQ441" s="119" t="s">
        <v>120</v>
      </c>
      <c r="AR441" s="119" t="s">
        <v>124</v>
      </c>
      <c r="AS441" s="119" t="s">
        <v>123</v>
      </c>
      <c r="AT441" s="8"/>
      <c r="AU441" s="8">
        <f t="shared" si="42"/>
        <v>256</v>
      </c>
      <c r="AV441" s="8">
        <f t="shared" si="43"/>
        <v>64</v>
      </c>
      <c r="AW441" s="8">
        <f t="shared" si="44"/>
        <v>2</v>
      </c>
      <c r="AX441" s="8">
        <f t="shared" si="45"/>
        <v>8</v>
      </c>
      <c r="AY441" s="8">
        <f t="shared" si="46"/>
        <v>1</v>
      </c>
      <c r="AZ441" s="8">
        <f t="shared" si="47"/>
        <v>128</v>
      </c>
      <c r="BA441" s="8">
        <f t="shared" si="48"/>
        <v>2048</v>
      </c>
      <c r="BB441" s="8">
        <f t="shared" si="49"/>
        <v>1024</v>
      </c>
      <c r="BC441" s="8">
        <f t="shared" si="50"/>
        <v>3531</v>
      </c>
      <c r="BD441" s="8"/>
      <c r="BE441" s="8"/>
      <c r="BF441" s="8"/>
      <c r="BG441" s="8"/>
      <c r="BH441" s="8"/>
    </row>
    <row r="442" spans="2:60">
      <c r="B442" s="11"/>
      <c r="C442" s="12"/>
      <c r="D442" s="8"/>
      <c r="E442" s="13"/>
      <c r="F442" s="14"/>
      <c r="G442" s="13"/>
      <c r="H442" s="15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2">
        <v>3019</v>
      </c>
      <c r="AK442" s="118">
        <v>318</v>
      </c>
      <c r="AL442" s="119" t="s">
        <v>120</v>
      </c>
      <c r="AM442" s="119" t="s">
        <v>122</v>
      </c>
      <c r="AN442" s="119" t="s">
        <v>114</v>
      </c>
      <c r="AO442" s="119" t="s">
        <v>116</v>
      </c>
      <c r="AP442" s="119" t="s">
        <v>113</v>
      </c>
      <c r="AQ442" s="119" t="s">
        <v>119</v>
      </c>
      <c r="AR442" s="119" t="s">
        <v>124</v>
      </c>
      <c r="AS442" s="119" t="s">
        <v>121</v>
      </c>
      <c r="AT442" s="8"/>
      <c r="AU442" s="8">
        <f t="shared" si="42"/>
        <v>128</v>
      </c>
      <c r="AV442" s="8">
        <f t="shared" si="43"/>
        <v>512</v>
      </c>
      <c r="AW442" s="8">
        <f t="shared" si="44"/>
        <v>2</v>
      </c>
      <c r="AX442" s="8">
        <f t="shared" si="45"/>
        <v>8</v>
      </c>
      <c r="AY442" s="8">
        <f t="shared" si="46"/>
        <v>1</v>
      </c>
      <c r="AZ442" s="8">
        <f t="shared" si="47"/>
        <v>64</v>
      </c>
      <c r="BA442" s="8">
        <f t="shared" si="48"/>
        <v>2048</v>
      </c>
      <c r="BB442" s="8">
        <f t="shared" si="49"/>
        <v>256</v>
      </c>
      <c r="BC442" s="8">
        <f t="shared" si="50"/>
        <v>3019</v>
      </c>
      <c r="BD442" s="8"/>
      <c r="BE442" s="8"/>
      <c r="BF442" s="8"/>
      <c r="BG442" s="8"/>
      <c r="BH442" s="8"/>
    </row>
    <row r="443" spans="2:60">
      <c r="B443" s="11"/>
      <c r="C443" s="12"/>
      <c r="D443" s="8"/>
      <c r="E443" s="13"/>
      <c r="F443" s="14"/>
      <c r="G443" s="13"/>
      <c r="H443" s="15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2">
        <v>1995</v>
      </c>
      <c r="AK443" s="118">
        <v>319</v>
      </c>
      <c r="AL443" s="119" t="s">
        <v>120</v>
      </c>
      <c r="AM443" s="119" t="s">
        <v>122</v>
      </c>
      <c r="AN443" s="119" t="s">
        <v>114</v>
      </c>
      <c r="AO443" s="119" t="s">
        <v>116</v>
      </c>
      <c r="AP443" s="119" t="s">
        <v>113</v>
      </c>
      <c r="AQ443" s="119" t="s">
        <v>119</v>
      </c>
      <c r="AR443" s="119" t="s">
        <v>121</v>
      </c>
      <c r="AS443" s="119" t="s">
        <v>123</v>
      </c>
      <c r="AT443" s="8"/>
      <c r="AU443" s="8">
        <f t="shared" si="42"/>
        <v>128</v>
      </c>
      <c r="AV443" s="8">
        <f t="shared" si="43"/>
        <v>512</v>
      </c>
      <c r="AW443" s="8">
        <f t="shared" si="44"/>
        <v>2</v>
      </c>
      <c r="AX443" s="8">
        <f t="shared" si="45"/>
        <v>8</v>
      </c>
      <c r="AY443" s="8">
        <f t="shared" si="46"/>
        <v>1</v>
      </c>
      <c r="AZ443" s="8">
        <f t="shared" si="47"/>
        <v>64</v>
      </c>
      <c r="BA443" s="8">
        <f t="shared" si="48"/>
        <v>256</v>
      </c>
      <c r="BB443" s="8">
        <f t="shared" si="49"/>
        <v>1024</v>
      </c>
      <c r="BC443" s="8">
        <f t="shared" si="50"/>
        <v>1995</v>
      </c>
      <c r="BD443" s="8"/>
      <c r="BE443" s="8"/>
      <c r="BF443" s="8"/>
      <c r="BG443" s="8"/>
      <c r="BH443" s="8"/>
    </row>
    <row r="444" spans="2:60">
      <c r="B444" s="11"/>
      <c r="C444" s="12"/>
      <c r="D444" s="8"/>
      <c r="E444" s="13"/>
      <c r="F444" s="14"/>
      <c r="G444" s="13"/>
      <c r="H444" s="15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2">
        <v>3883</v>
      </c>
      <c r="AK444" s="118">
        <v>320</v>
      </c>
      <c r="AL444" s="119" t="s">
        <v>121</v>
      </c>
      <c r="AM444" s="119" t="s">
        <v>122</v>
      </c>
      <c r="AN444" s="119" t="s">
        <v>114</v>
      </c>
      <c r="AO444" s="119" t="s">
        <v>116</v>
      </c>
      <c r="AP444" s="119" t="s">
        <v>113</v>
      </c>
      <c r="AQ444" s="119" t="s">
        <v>118</v>
      </c>
      <c r="AR444" s="119" t="s">
        <v>124</v>
      </c>
      <c r="AS444" s="119" t="s">
        <v>123</v>
      </c>
      <c r="AT444" s="8"/>
      <c r="AU444" s="8">
        <f t="shared" si="42"/>
        <v>256</v>
      </c>
      <c r="AV444" s="8">
        <f t="shared" si="43"/>
        <v>512</v>
      </c>
      <c r="AW444" s="8">
        <f t="shared" si="44"/>
        <v>2</v>
      </c>
      <c r="AX444" s="8">
        <f t="shared" si="45"/>
        <v>8</v>
      </c>
      <c r="AY444" s="8">
        <f t="shared" si="46"/>
        <v>1</v>
      </c>
      <c r="AZ444" s="8">
        <f t="shared" si="47"/>
        <v>32</v>
      </c>
      <c r="BA444" s="8">
        <f t="shared" si="48"/>
        <v>2048</v>
      </c>
      <c r="BB444" s="8">
        <f t="shared" si="49"/>
        <v>1024</v>
      </c>
      <c r="BC444" s="8">
        <f t="shared" si="50"/>
        <v>3883</v>
      </c>
      <c r="BD444" s="8"/>
      <c r="BE444" s="8"/>
      <c r="BF444" s="8"/>
      <c r="BG444" s="8"/>
      <c r="BH444" s="8"/>
    </row>
    <row r="445" spans="2:60">
      <c r="B445" s="11"/>
      <c r="C445" s="12"/>
      <c r="D445" s="8"/>
      <c r="E445" s="13"/>
      <c r="F445" s="14"/>
      <c r="G445" s="13"/>
      <c r="H445" s="15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2">
        <v>3755</v>
      </c>
      <c r="AK445" s="118">
        <v>321</v>
      </c>
      <c r="AL445" s="119" t="s">
        <v>120</v>
      </c>
      <c r="AM445" s="119" t="s">
        <v>122</v>
      </c>
      <c r="AN445" s="119" t="s">
        <v>114</v>
      </c>
      <c r="AO445" s="119" t="s">
        <v>116</v>
      </c>
      <c r="AP445" s="119" t="s">
        <v>113</v>
      </c>
      <c r="AQ445" s="119" t="s">
        <v>118</v>
      </c>
      <c r="AR445" s="119" t="s">
        <v>124</v>
      </c>
      <c r="AS445" s="119" t="s">
        <v>123</v>
      </c>
      <c r="AT445" s="8"/>
      <c r="AU445" s="8">
        <f t="shared" ref="AU445:AU508" si="51">+VLOOKUP(AL445,$Q$105:$R$116,2)</f>
        <v>128</v>
      </c>
      <c r="AV445" s="8">
        <f t="shared" ref="AV445:AV508" si="52">+VLOOKUP(AM445,$Q$105:$R$116,2)</f>
        <v>512</v>
      </c>
      <c r="AW445" s="8">
        <f t="shared" ref="AW445:AW508" si="53">+VLOOKUP(AN445,$Q$105:$R$116,2)</f>
        <v>2</v>
      </c>
      <c r="AX445" s="8">
        <f t="shared" ref="AX445:AX508" si="54">+VLOOKUP(AO445,$Q$105:$R$116,2)</f>
        <v>8</v>
      </c>
      <c r="AY445" s="8">
        <f t="shared" ref="AY445:AY508" si="55">+VLOOKUP(AP445,$Q$105:$R$116,2)</f>
        <v>1</v>
      </c>
      <c r="AZ445" s="8">
        <f t="shared" ref="AZ445:AZ508" si="56">+VLOOKUP(AQ445,$Q$105:$R$116,2)</f>
        <v>32</v>
      </c>
      <c r="BA445" s="8">
        <f t="shared" ref="BA445:BA508" si="57">+VLOOKUP(AR445,$Q$105:$R$116,2)</f>
        <v>2048</v>
      </c>
      <c r="BB445" s="8">
        <f t="shared" ref="BB445:BB508" si="58">+VLOOKUP(AS445,$Q$105:$R$116,2)</f>
        <v>1024</v>
      </c>
      <c r="BC445" s="8">
        <f t="shared" ref="BC445:BC508" si="59">+SUM(AU445:BB445)</f>
        <v>3755</v>
      </c>
      <c r="BD445" s="8"/>
      <c r="BE445" s="8"/>
      <c r="BF445" s="8"/>
      <c r="BG445" s="8"/>
      <c r="BH445" s="8"/>
    </row>
    <row r="446" spans="2:60">
      <c r="B446" s="11"/>
      <c r="C446" s="12"/>
      <c r="D446" s="8"/>
      <c r="E446" s="13"/>
      <c r="F446" s="14"/>
      <c r="G446" s="13"/>
      <c r="H446" s="15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2">
        <v>3499</v>
      </c>
      <c r="AK446" s="118">
        <v>322</v>
      </c>
      <c r="AL446" s="119" t="s">
        <v>120</v>
      </c>
      <c r="AM446" s="119" t="s">
        <v>121</v>
      </c>
      <c r="AN446" s="119" t="s">
        <v>114</v>
      </c>
      <c r="AO446" s="119" t="s">
        <v>116</v>
      </c>
      <c r="AP446" s="119" t="s">
        <v>113</v>
      </c>
      <c r="AQ446" s="119" t="s">
        <v>118</v>
      </c>
      <c r="AR446" s="119" t="s">
        <v>124</v>
      </c>
      <c r="AS446" s="119" t="s">
        <v>123</v>
      </c>
      <c r="AT446" s="8"/>
      <c r="AU446" s="8">
        <f t="shared" si="51"/>
        <v>128</v>
      </c>
      <c r="AV446" s="8">
        <f t="shared" si="52"/>
        <v>256</v>
      </c>
      <c r="AW446" s="8">
        <f t="shared" si="53"/>
        <v>2</v>
      </c>
      <c r="AX446" s="8">
        <f t="shared" si="54"/>
        <v>8</v>
      </c>
      <c r="AY446" s="8">
        <f t="shared" si="55"/>
        <v>1</v>
      </c>
      <c r="AZ446" s="8">
        <f t="shared" si="56"/>
        <v>32</v>
      </c>
      <c r="BA446" s="8">
        <f t="shared" si="57"/>
        <v>2048</v>
      </c>
      <c r="BB446" s="8">
        <f t="shared" si="58"/>
        <v>1024</v>
      </c>
      <c r="BC446" s="8">
        <f t="shared" si="59"/>
        <v>3499</v>
      </c>
      <c r="BD446" s="8"/>
      <c r="BE446" s="8"/>
      <c r="BF446" s="8"/>
      <c r="BG446" s="8"/>
      <c r="BH446" s="8"/>
    </row>
    <row r="447" spans="2:60">
      <c r="B447" s="11"/>
      <c r="C447" s="12"/>
      <c r="D447" s="8"/>
      <c r="E447" s="13"/>
      <c r="F447" s="14"/>
      <c r="G447" s="13"/>
      <c r="H447" s="15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2">
        <v>2987</v>
      </c>
      <c r="AK447" s="118">
        <v>323</v>
      </c>
      <c r="AL447" s="119" t="s">
        <v>120</v>
      </c>
      <c r="AM447" s="119" t="s">
        <v>122</v>
      </c>
      <c r="AN447" s="119" t="s">
        <v>114</v>
      </c>
      <c r="AO447" s="119" t="s">
        <v>116</v>
      </c>
      <c r="AP447" s="119" t="s">
        <v>113</v>
      </c>
      <c r="AQ447" s="119" t="s">
        <v>118</v>
      </c>
      <c r="AR447" s="119" t="s">
        <v>124</v>
      </c>
      <c r="AS447" s="119" t="s">
        <v>121</v>
      </c>
      <c r="AT447" s="8"/>
      <c r="AU447" s="8">
        <f t="shared" si="51"/>
        <v>128</v>
      </c>
      <c r="AV447" s="8">
        <f t="shared" si="52"/>
        <v>512</v>
      </c>
      <c r="AW447" s="8">
        <f t="shared" si="53"/>
        <v>2</v>
      </c>
      <c r="AX447" s="8">
        <f t="shared" si="54"/>
        <v>8</v>
      </c>
      <c r="AY447" s="8">
        <f t="shared" si="55"/>
        <v>1</v>
      </c>
      <c r="AZ447" s="8">
        <f t="shared" si="56"/>
        <v>32</v>
      </c>
      <c r="BA447" s="8">
        <f t="shared" si="57"/>
        <v>2048</v>
      </c>
      <c r="BB447" s="8">
        <f t="shared" si="58"/>
        <v>256</v>
      </c>
      <c r="BC447" s="8">
        <f t="shared" si="59"/>
        <v>2987</v>
      </c>
      <c r="BD447" s="8"/>
      <c r="BE447" s="8"/>
      <c r="BF447" s="8"/>
      <c r="BG447" s="8"/>
      <c r="BH447" s="8"/>
    </row>
    <row r="448" spans="2:60">
      <c r="B448" s="11"/>
      <c r="C448" s="12"/>
      <c r="D448" s="8"/>
      <c r="E448" s="13"/>
      <c r="F448" s="14"/>
      <c r="G448" s="13"/>
      <c r="H448" s="15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2">
        <v>1963</v>
      </c>
      <c r="AK448" s="118">
        <v>324</v>
      </c>
      <c r="AL448" s="119" t="s">
        <v>120</v>
      </c>
      <c r="AM448" s="119" t="s">
        <v>122</v>
      </c>
      <c r="AN448" s="119" t="s">
        <v>114</v>
      </c>
      <c r="AO448" s="119" t="s">
        <v>116</v>
      </c>
      <c r="AP448" s="119" t="s">
        <v>113</v>
      </c>
      <c r="AQ448" s="119" t="s">
        <v>118</v>
      </c>
      <c r="AR448" s="119" t="s">
        <v>121</v>
      </c>
      <c r="AS448" s="119" t="s">
        <v>123</v>
      </c>
      <c r="AT448" s="8"/>
      <c r="AU448" s="8">
        <f t="shared" si="51"/>
        <v>128</v>
      </c>
      <c r="AV448" s="8">
        <f t="shared" si="52"/>
        <v>512</v>
      </c>
      <c r="AW448" s="8">
        <f t="shared" si="53"/>
        <v>2</v>
      </c>
      <c r="AX448" s="8">
        <f t="shared" si="54"/>
        <v>8</v>
      </c>
      <c r="AY448" s="8">
        <f t="shared" si="55"/>
        <v>1</v>
      </c>
      <c r="AZ448" s="8">
        <f t="shared" si="56"/>
        <v>32</v>
      </c>
      <c r="BA448" s="8">
        <f t="shared" si="57"/>
        <v>256</v>
      </c>
      <c r="BB448" s="8">
        <f t="shared" si="58"/>
        <v>1024</v>
      </c>
      <c r="BC448" s="8">
        <f t="shared" si="59"/>
        <v>1963</v>
      </c>
      <c r="BD448" s="8"/>
      <c r="BE448" s="8"/>
      <c r="BF448" s="8"/>
      <c r="BG448" s="8"/>
      <c r="BH448" s="8"/>
    </row>
    <row r="449" spans="2:60">
      <c r="B449" s="11"/>
      <c r="C449" s="12"/>
      <c r="D449" s="8"/>
      <c r="E449" s="13"/>
      <c r="F449" s="14"/>
      <c r="G449" s="13"/>
      <c r="H449" s="15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2">
        <v>3691</v>
      </c>
      <c r="AK449" s="118">
        <v>325</v>
      </c>
      <c r="AL449" s="119" t="s">
        <v>118</v>
      </c>
      <c r="AM449" s="119" t="s">
        <v>122</v>
      </c>
      <c r="AN449" s="119" t="s">
        <v>114</v>
      </c>
      <c r="AO449" s="119" t="s">
        <v>116</v>
      </c>
      <c r="AP449" s="119" t="s">
        <v>113</v>
      </c>
      <c r="AQ449" s="119" t="s">
        <v>119</v>
      </c>
      <c r="AR449" s="119" t="s">
        <v>124</v>
      </c>
      <c r="AS449" s="119" t="s">
        <v>123</v>
      </c>
      <c r="AT449" s="8"/>
      <c r="AU449" s="8">
        <f t="shared" si="51"/>
        <v>32</v>
      </c>
      <c r="AV449" s="8">
        <f t="shared" si="52"/>
        <v>512</v>
      </c>
      <c r="AW449" s="8">
        <f t="shared" si="53"/>
        <v>2</v>
      </c>
      <c r="AX449" s="8">
        <f t="shared" si="54"/>
        <v>8</v>
      </c>
      <c r="AY449" s="8">
        <f t="shared" si="55"/>
        <v>1</v>
      </c>
      <c r="AZ449" s="8">
        <f t="shared" si="56"/>
        <v>64</v>
      </c>
      <c r="BA449" s="8">
        <f t="shared" si="57"/>
        <v>2048</v>
      </c>
      <c r="BB449" s="8">
        <f t="shared" si="58"/>
        <v>1024</v>
      </c>
      <c r="BC449" s="8">
        <f t="shared" si="59"/>
        <v>3691</v>
      </c>
      <c r="BD449" s="8"/>
      <c r="BE449" s="8"/>
      <c r="BF449" s="8"/>
      <c r="BG449" s="8"/>
      <c r="BH449" s="8"/>
    </row>
    <row r="450" spans="2:60">
      <c r="B450" s="11"/>
      <c r="C450" s="12"/>
      <c r="D450" s="8"/>
      <c r="E450" s="13"/>
      <c r="F450" s="14"/>
      <c r="G450" s="13"/>
      <c r="H450" s="15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2">
        <v>3435</v>
      </c>
      <c r="AK450" s="118">
        <v>326</v>
      </c>
      <c r="AL450" s="119" t="s">
        <v>121</v>
      </c>
      <c r="AM450" s="119" t="s">
        <v>119</v>
      </c>
      <c r="AN450" s="119" t="s">
        <v>114</v>
      </c>
      <c r="AO450" s="119" t="s">
        <v>116</v>
      </c>
      <c r="AP450" s="119" t="s">
        <v>113</v>
      </c>
      <c r="AQ450" s="119" t="s">
        <v>118</v>
      </c>
      <c r="AR450" s="119" t="s">
        <v>124</v>
      </c>
      <c r="AS450" s="119" t="s">
        <v>123</v>
      </c>
      <c r="AT450" s="8"/>
      <c r="AU450" s="8">
        <f t="shared" si="51"/>
        <v>256</v>
      </c>
      <c r="AV450" s="8">
        <f t="shared" si="52"/>
        <v>64</v>
      </c>
      <c r="AW450" s="8">
        <f t="shared" si="53"/>
        <v>2</v>
      </c>
      <c r="AX450" s="8">
        <f t="shared" si="54"/>
        <v>8</v>
      </c>
      <c r="AY450" s="8">
        <f t="shared" si="55"/>
        <v>1</v>
      </c>
      <c r="AZ450" s="8">
        <f t="shared" si="56"/>
        <v>32</v>
      </c>
      <c r="BA450" s="8">
        <f t="shared" si="57"/>
        <v>2048</v>
      </c>
      <c r="BB450" s="8">
        <f t="shared" si="58"/>
        <v>1024</v>
      </c>
      <c r="BC450" s="8">
        <f t="shared" si="59"/>
        <v>3435</v>
      </c>
      <c r="BD450" s="8"/>
      <c r="BE450" s="8"/>
      <c r="BF450" s="8"/>
      <c r="BG450" s="8"/>
      <c r="BH450" s="8"/>
    </row>
    <row r="451" spans="2:60">
      <c r="B451" s="11"/>
      <c r="C451" s="12"/>
      <c r="D451" s="8"/>
      <c r="E451" s="13"/>
      <c r="F451" s="14"/>
      <c r="G451" s="13"/>
      <c r="H451" s="15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2">
        <v>2923</v>
      </c>
      <c r="AK451" s="118">
        <v>327</v>
      </c>
      <c r="AL451" s="119" t="s">
        <v>118</v>
      </c>
      <c r="AM451" s="119" t="s">
        <v>122</v>
      </c>
      <c r="AN451" s="119" t="s">
        <v>114</v>
      </c>
      <c r="AO451" s="119" t="s">
        <v>116</v>
      </c>
      <c r="AP451" s="119" t="s">
        <v>113</v>
      </c>
      <c r="AQ451" s="119" t="s">
        <v>119</v>
      </c>
      <c r="AR451" s="119" t="s">
        <v>124</v>
      </c>
      <c r="AS451" s="119" t="s">
        <v>121</v>
      </c>
      <c r="AT451" s="8"/>
      <c r="AU451" s="8">
        <f t="shared" si="51"/>
        <v>32</v>
      </c>
      <c r="AV451" s="8">
        <f t="shared" si="52"/>
        <v>512</v>
      </c>
      <c r="AW451" s="8">
        <f t="shared" si="53"/>
        <v>2</v>
      </c>
      <c r="AX451" s="8">
        <f t="shared" si="54"/>
        <v>8</v>
      </c>
      <c r="AY451" s="8">
        <f t="shared" si="55"/>
        <v>1</v>
      </c>
      <c r="AZ451" s="8">
        <f t="shared" si="56"/>
        <v>64</v>
      </c>
      <c r="BA451" s="8">
        <f t="shared" si="57"/>
        <v>2048</v>
      </c>
      <c r="BB451" s="8">
        <f t="shared" si="58"/>
        <v>256</v>
      </c>
      <c r="BC451" s="8">
        <f t="shared" si="59"/>
        <v>2923</v>
      </c>
      <c r="BD451" s="8"/>
      <c r="BE451" s="8"/>
      <c r="BF451" s="8"/>
      <c r="BG451" s="8"/>
      <c r="BH451" s="8"/>
    </row>
    <row r="452" spans="2:60">
      <c r="B452" s="11"/>
      <c r="C452" s="12"/>
      <c r="D452" s="8"/>
      <c r="E452" s="13"/>
      <c r="F452" s="14"/>
      <c r="G452" s="13"/>
      <c r="H452" s="15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2">
        <v>1899</v>
      </c>
      <c r="AK452" s="118">
        <v>328</v>
      </c>
      <c r="AL452" s="119" t="s">
        <v>118</v>
      </c>
      <c r="AM452" s="119" t="s">
        <v>122</v>
      </c>
      <c r="AN452" s="119" t="s">
        <v>114</v>
      </c>
      <c r="AO452" s="119" t="s">
        <v>116</v>
      </c>
      <c r="AP452" s="119" t="s">
        <v>113</v>
      </c>
      <c r="AQ452" s="119" t="s">
        <v>119</v>
      </c>
      <c r="AR452" s="119" t="s">
        <v>121</v>
      </c>
      <c r="AS452" s="119" t="s">
        <v>123</v>
      </c>
      <c r="AT452" s="8"/>
      <c r="AU452" s="8">
        <f t="shared" si="51"/>
        <v>32</v>
      </c>
      <c r="AV452" s="8">
        <f t="shared" si="52"/>
        <v>512</v>
      </c>
      <c r="AW452" s="8">
        <f t="shared" si="53"/>
        <v>2</v>
      </c>
      <c r="AX452" s="8">
        <f t="shared" si="54"/>
        <v>8</v>
      </c>
      <c r="AY452" s="8">
        <f t="shared" si="55"/>
        <v>1</v>
      </c>
      <c r="AZ452" s="8">
        <f t="shared" si="56"/>
        <v>64</v>
      </c>
      <c r="BA452" s="8">
        <f t="shared" si="57"/>
        <v>256</v>
      </c>
      <c r="BB452" s="8">
        <f t="shared" si="58"/>
        <v>1024</v>
      </c>
      <c r="BC452" s="8">
        <f t="shared" si="59"/>
        <v>1899</v>
      </c>
      <c r="BD452" s="8"/>
      <c r="BE452" s="8"/>
      <c r="BF452" s="8"/>
      <c r="BG452" s="8"/>
      <c r="BH452" s="8"/>
    </row>
    <row r="453" spans="2:60">
      <c r="B453" s="11"/>
      <c r="C453" s="12"/>
      <c r="D453" s="8"/>
      <c r="E453" s="13"/>
      <c r="F453" s="14"/>
      <c r="G453" s="13"/>
      <c r="H453" s="15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2">
        <v>3307</v>
      </c>
      <c r="AK453" s="118">
        <v>329</v>
      </c>
      <c r="AL453" s="119" t="s">
        <v>120</v>
      </c>
      <c r="AM453" s="119" t="s">
        <v>119</v>
      </c>
      <c r="AN453" s="119" t="s">
        <v>114</v>
      </c>
      <c r="AO453" s="119" t="s">
        <v>116</v>
      </c>
      <c r="AP453" s="119" t="s">
        <v>113</v>
      </c>
      <c r="AQ453" s="119" t="s">
        <v>118</v>
      </c>
      <c r="AR453" s="119" t="s">
        <v>124</v>
      </c>
      <c r="AS453" s="119" t="s">
        <v>123</v>
      </c>
      <c r="AT453" s="8"/>
      <c r="AU453" s="8">
        <f t="shared" si="51"/>
        <v>128</v>
      </c>
      <c r="AV453" s="8">
        <f t="shared" si="52"/>
        <v>64</v>
      </c>
      <c r="AW453" s="8">
        <f t="shared" si="53"/>
        <v>2</v>
      </c>
      <c r="AX453" s="8">
        <f t="shared" si="54"/>
        <v>8</v>
      </c>
      <c r="AY453" s="8">
        <f t="shared" si="55"/>
        <v>1</v>
      </c>
      <c r="AZ453" s="8">
        <f t="shared" si="56"/>
        <v>32</v>
      </c>
      <c r="BA453" s="8">
        <f t="shared" si="57"/>
        <v>2048</v>
      </c>
      <c r="BB453" s="8">
        <f t="shared" si="58"/>
        <v>1024</v>
      </c>
      <c r="BC453" s="8">
        <f t="shared" si="59"/>
        <v>3307</v>
      </c>
      <c r="BD453" s="8"/>
      <c r="BE453" s="8"/>
      <c r="BF453" s="8"/>
      <c r="BG453" s="8"/>
      <c r="BH453" s="8"/>
    </row>
    <row r="454" spans="2:60">
      <c r="B454" s="11"/>
      <c r="C454" s="12"/>
      <c r="D454" s="8"/>
      <c r="E454" s="13"/>
      <c r="F454" s="14"/>
      <c r="G454" s="13"/>
      <c r="H454" s="15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2">
        <v>2795</v>
      </c>
      <c r="AK454" s="118">
        <v>330</v>
      </c>
      <c r="AL454" s="119" t="s">
        <v>120</v>
      </c>
      <c r="AM454" s="119" t="s">
        <v>119</v>
      </c>
      <c r="AN454" s="119" t="s">
        <v>114</v>
      </c>
      <c r="AO454" s="119" t="s">
        <v>116</v>
      </c>
      <c r="AP454" s="119" t="s">
        <v>113</v>
      </c>
      <c r="AQ454" s="119" t="s">
        <v>118</v>
      </c>
      <c r="AR454" s="119" t="s">
        <v>124</v>
      </c>
      <c r="AS454" s="119" t="s">
        <v>122</v>
      </c>
      <c r="AT454" s="8"/>
      <c r="AU454" s="8">
        <f t="shared" si="51"/>
        <v>128</v>
      </c>
      <c r="AV454" s="8">
        <f t="shared" si="52"/>
        <v>64</v>
      </c>
      <c r="AW454" s="8">
        <f t="shared" si="53"/>
        <v>2</v>
      </c>
      <c r="AX454" s="8">
        <f t="shared" si="54"/>
        <v>8</v>
      </c>
      <c r="AY454" s="8">
        <f t="shared" si="55"/>
        <v>1</v>
      </c>
      <c r="AZ454" s="8">
        <f t="shared" si="56"/>
        <v>32</v>
      </c>
      <c r="BA454" s="8">
        <f t="shared" si="57"/>
        <v>2048</v>
      </c>
      <c r="BB454" s="8">
        <f t="shared" si="58"/>
        <v>512</v>
      </c>
      <c r="BC454" s="8">
        <f t="shared" si="59"/>
        <v>2795</v>
      </c>
      <c r="BD454" s="8"/>
      <c r="BE454" s="8"/>
      <c r="BF454" s="8"/>
      <c r="BG454" s="8"/>
      <c r="BH454" s="8"/>
    </row>
    <row r="455" spans="2:60">
      <c r="B455" s="11"/>
      <c r="C455" s="12"/>
      <c r="D455" s="8"/>
      <c r="E455" s="13"/>
      <c r="F455" s="14"/>
      <c r="G455" s="13"/>
      <c r="H455" s="15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2">
        <v>1771</v>
      </c>
      <c r="AK455" s="118">
        <v>331</v>
      </c>
      <c r="AL455" s="119" t="s">
        <v>120</v>
      </c>
      <c r="AM455" s="119" t="s">
        <v>119</v>
      </c>
      <c r="AN455" s="119" t="s">
        <v>114</v>
      </c>
      <c r="AO455" s="119" t="s">
        <v>116</v>
      </c>
      <c r="AP455" s="119" t="s">
        <v>113</v>
      </c>
      <c r="AQ455" s="119" t="s">
        <v>118</v>
      </c>
      <c r="AR455" s="119" t="s">
        <v>122</v>
      </c>
      <c r="AS455" s="119" t="s">
        <v>123</v>
      </c>
      <c r="AT455" s="8"/>
      <c r="AU455" s="8">
        <f t="shared" si="51"/>
        <v>128</v>
      </c>
      <c r="AV455" s="8">
        <f t="shared" si="52"/>
        <v>64</v>
      </c>
      <c r="AW455" s="8">
        <f t="shared" si="53"/>
        <v>2</v>
      </c>
      <c r="AX455" s="8">
        <f t="shared" si="54"/>
        <v>8</v>
      </c>
      <c r="AY455" s="8">
        <f t="shared" si="55"/>
        <v>1</v>
      </c>
      <c r="AZ455" s="8">
        <f t="shared" si="56"/>
        <v>32</v>
      </c>
      <c r="BA455" s="8">
        <f t="shared" si="57"/>
        <v>512</v>
      </c>
      <c r="BB455" s="8">
        <f t="shared" si="58"/>
        <v>1024</v>
      </c>
      <c r="BC455" s="8">
        <f t="shared" si="59"/>
        <v>1771</v>
      </c>
      <c r="BD455" s="8"/>
      <c r="BE455" s="8"/>
      <c r="BF455" s="8"/>
      <c r="BG455" s="8"/>
      <c r="BH455" s="8"/>
    </row>
    <row r="456" spans="2:60">
      <c r="B456" s="11"/>
      <c r="C456" s="12"/>
      <c r="D456" s="8"/>
      <c r="E456" s="13"/>
      <c r="F456" s="14"/>
      <c r="G456" s="13"/>
      <c r="H456" s="15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2">
        <v>2539</v>
      </c>
      <c r="AK456" s="118">
        <v>332</v>
      </c>
      <c r="AL456" s="119" t="s">
        <v>120</v>
      </c>
      <c r="AM456" s="119" t="s">
        <v>119</v>
      </c>
      <c r="AN456" s="119" t="s">
        <v>114</v>
      </c>
      <c r="AO456" s="119" t="s">
        <v>116</v>
      </c>
      <c r="AP456" s="119" t="s">
        <v>113</v>
      </c>
      <c r="AQ456" s="119" t="s">
        <v>118</v>
      </c>
      <c r="AR456" s="119" t="s">
        <v>124</v>
      </c>
      <c r="AS456" s="119" t="s">
        <v>121</v>
      </c>
      <c r="AT456" s="8"/>
      <c r="AU456" s="8">
        <f t="shared" si="51"/>
        <v>128</v>
      </c>
      <c r="AV456" s="8">
        <f t="shared" si="52"/>
        <v>64</v>
      </c>
      <c r="AW456" s="8">
        <f t="shared" si="53"/>
        <v>2</v>
      </c>
      <c r="AX456" s="8">
        <f t="shared" si="54"/>
        <v>8</v>
      </c>
      <c r="AY456" s="8">
        <f t="shared" si="55"/>
        <v>1</v>
      </c>
      <c r="AZ456" s="8">
        <f t="shared" si="56"/>
        <v>32</v>
      </c>
      <c r="BA456" s="8">
        <f t="shared" si="57"/>
        <v>2048</v>
      </c>
      <c r="BB456" s="8">
        <f t="shared" si="58"/>
        <v>256</v>
      </c>
      <c r="BC456" s="8">
        <f t="shared" si="59"/>
        <v>2539</v>
      </c>
      <c r="BD456" s="8"/>
      <c r="BE456" s="8"/>
      <c r="BF456" s="8"/>
      <c r="BG456" s="8"/>
      <c r="BH456" s="8"/>
    </row>
    <row r="457" spans="2:60">
      <c r="B457" s="11"/>
      <c r="C457" s="12"/>
      <c r="D457" s="8"/>
      <c r="E457" s="13"/>
      <c r="F457" s="14"/>
      <c r="G457" s="13"/>
      <c r="H457" s="15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2">
        <v>1515</v>
      </c>
      <c r="AK457" s="118">
        <v>333</v>
      </c>
      <c r="AL457" s="119" t="s">
        <v>120</v>
      </c>
      <c r="AM457" s="119" t="s">
        <v>119</v>
      </c>
      <c r="AN457" s="119" t="s">
        <v>114</v>
      </c>
      <c r="AO457" s="119" t="s">
        <v>116</v>
      </c>
      <c r="AP457" s="119" t="s">
        <v>113</v>
      </c>
      <c r="AQ457" s="119" t="s">
        <v>118</v>
      </c>
      <c r="AR457" s="119" t="s">
        <v>121</v>
      </c>
      <c r="AS457" s="119" t="s">
        <v>123</v>
      </c>
      <c r="AT457" s="8"/>
      <c r="AU457" s="8">
        <f t="shared" si="51"/>
        <v>128</v>
      </c>
      <c r="AV457" s="8">
        <f t="shared" si="52"/>
        <v>64</v>
      </c>
      <c r="AW457" s="8">
        <f t="shared" si="53"/>
        <v>2</v>
      </c>
      <c r="AX457" s="8">
        <f t="shared" si="54"/>
        <v>8</v>
      </c>
      <c r="AY457" s="8">
        <f t="shared" si="55"/>
        <v>1</v>
      </c>
      <c r="AZ457" s="8">
        <f t="shared" si="56"/>
        <v>32</v>
      </c>
      <c r="BA457" s="8">
        <f t="shared" si="57"/>
        <v>256</v>
      </c>
      <c r="BB457" s="8">
        <f t="shared" si="58"/>
        <v>1024</v>
      </c>
      <c r="BC457" s="8">
        <f t="shared" si="59"/>
        <v>1515</v>
      </c>
      <c r="BD457" s="8"/>
      <c r="BE457" s="8"/>
      <c r="BF457" s="8"/>
      <c r="BG457" s="8"/>
      <c r="BH457" s="8"/>
    </row>
    <row r="458" spans="2:60">
      <c r="B458" s="11"/>
      <c r="C458" s="12"/>
      <c r="D458" s="8"/>
      <c r="E458" s="13"/>
      <c r="F458" s="14"/>
      <c r="G458" s="13"/>
      <c r="H458" s="15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2">
        <v>1003</v>
      </c>
      <c r="AK458" s="118">
        <v>334</v>
      </c>
      <c r="AL458" s="119" t="s">
        <v>120</v>
      </c>
      <c r="AM458" s="119" t="s">
        <v>119</v>
      </c>
      <c r="AN458" s="119" t="s">
        <v>114</v>
      </c>
      <c r="AO458" s="119" t="s">
        <v>116</v>
      </c>
      <c r="AP458" s="119" t="s">
        <v>113</v>
      </c>
      <c r="AQ458" s="119" t="s">
        <v>118</v>
      </c>
      <c r="AR458" s="119" t="s">
        <v>121</v>
      </c>
      <c r="AS458" s="119" t="s">
        <v>122</v>
      </c>
      <c r="AT458" s="8"/>
      <c r="AU458" s="8">
        <f t="shared" si="51"/>
        <v>128</v>
      </c>
      <c r="AV458" s="8">
        <f t="shared" si="52"/>
        <v>64</v>
      </c>
      <c r="AW458" s="8">
        <f t="shared" si="53"/>
        <v>2</v>
      </c>
      <c r="AX458" s="8">
        <f t="shared" si="54"/>
        <v>8</v>
      </c>
      <c r="AY458" s="8">
        <f t="shared" si="55"/>
        <v>1</v>
      </c>
      <c r="AZ458" s="8">
        <f t="shared" si="56"/>
        <v>32</v>
      </c>
      <c r="BA458" s="8">
        <f t="shared" si="57"/>
        <v>256</v>
      </c>
      <c r="BB458" s="8">
        <f t="shared" si="58"/>
        <v>512</v>
      </c>
      <c r="BC458" s="8">
        <f t="shared" si="59"/>
        <v>1003</v>
      </c>
      <c r="BD458" s="8"/>
      <c r="BE458" s="8"/>
      <c r="BF458" s="8"/>
      <c r="BG458" s="8"/>
      <c r="BH458" s="8"/>
    </row>
    <row r="459" spans="2:60">
      <c r="B459" s="11"/>
      <c r="C459" s="12"/>
      <c r="D459" s="8"/>
      <c r="E459" s="13"/>
      <c r="F459" s="14"/>
      <c r="G459" s="13"/>
      <c r="H459" s="15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2">
        <v>3867</v>
      </c>
      <c r="AK459" s="118">
        <v>335</v>
      </c>
      <c r="AL459" s="119" t="s">
        <v>117</v>
      </c>
      <c r="AM459" s="119" t="s">
        <v>122</v>
      </c>
      <c r="AN459" s="119" t="s">
        <v>114</v>
      </c>
      <c r="AO459" s="119" t="s">
        <v>113</v>
      </c>
      <c r="AP459" s="119" t="s">
        <v>121</v>
      </c>
      <c r="AQ459" s="119" t="s">
        <v>116</v>
      </c>
      <c r="AR459" s="119" t="s">
        <v>124</v>
      </c>
      <c r="AS459" s="119" t="s">
        <v>123</v>
      </c>
      <c r="AT459" s="8"/>
      <c r="AU459" s="8">
        <f t="shared" si="51"/>
        <v>16</v>
      </c>
      <c r="AV459" s="8">
        <f t="shared" si="52"/>
        <v>512</v>
      </c>
      <c r="AW459" s="8">
        <f t="shared" si="53"/>
        <v>2</v>
      </c>
      <c r="AX459" s="8">
        <f t="shared" si="54"/>
        <v>1</v>
      </c>
      <c r="AY459" s="8">
        <f t="shared" si="55"/>
        <v>256</v>
      </c>
      <c r="AZ459" s="8">
        <f t="shared" si="56"/>
        <v>8</v>
      </c>
      <c r="BA459" s="8">
        <f t="shared" si="57"/>
        <v>2048</v>
      </c>
      <c r="BB459" s="8">
        <f t="shared" si="58"/>
        <v>1024</v>
      </c>
      <c r="BC459" s="8">
        <f t="shared" si="59"/>
        <v>3867</v>
      </c>
      <c r="BD459" s="8"/>
      <c r="BE459" s="8"/>
      <c r="BF459" s="8"/>
      <c r="BG459" s="8"/>
      <c r="BH459" s="8"/>
    </row>
    <row r="460" spans="2:60">
      <c r="B460" s="11"/>
      <c r="C460" s="12"/>
      <c r="D460" s="8"/>
      <c r="E460" s="13"/>
      <c r="F460" s="14"/>
      <c r="G460" s="13"/>
      <c r="H460" s="15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2">
        <v>3739</v>
      </c>
      <c r="AK460" s="118">
        <v>336</v>
      </c>
      <c r="AL460" s="119" t="s">
        <v>117</v>
      </c>
      <c r="AM460" s="119" t="s">
        <v>122</v>
      </c>
      <c r="AN460" s="119" t="s">
        <v>114</v>
      </c>
      <c r="AO460" s="119" t="s">
        <v>116</v>
      </c>
      <c r="AP460" s="119" t="s">
        <v>113</v>
      </c>
      <c r="AQ460" s="119" t="s">
        <v>120</v>
      </c>
      <c r="AR460" s="119" t="s">
        <v>124</v>
      </c>
      <c r="AS460" s="119" t="s">
        <v>123</v>
      </c>
      <c r="AT460" s="8"/>
      <c r="AU460" s="8">
        <f t="shared" si="51"/>
        <v>16</v>
      </c>
      <c r="AV460" s="8">
        <f t="shared" si="52"/>
        <v>512</v>
      </c>
      <c r="AW460" s="8">
        <f t="shared" si="53"/>
        <v>2</v>
      </c>
      <c r="AX460" s="8">
        <f t="shared" si="54"/>
        <v>8</v>
      </c>
      <c r="AY460" s="8">
        <f t="shared" si="55"/>
        <v>1</v>
      </c>
      <c r="AZ460" s="8">
        <f t="shared" si="56"/>
        <v>128</v>
      </c>
      <c r="BA460" s="8">
        <f t="shared" si="57"/>
        <v>2048</v>
      </c>
      <c r="BB460" s="8">
        <f t="shared" si="58"/>
        <v>1024</v>
      </c>
      <c r="BC460" s="8">
        <f t="shared" si="59"/>
        <v>3739</v>
      </c>
      <c r="BD460" s="8"/>
      <c r="BE460" s="8"/>
      <c r="BF460" s="8"/>
      <c r="BG460" s="8"/>
      <c r="BH460" s="8"/>
    </row>
    <row r="461" spans="2:60">
      <c r="B461" s="11"/>
      <c r="C461" s="12"/>
      <c r="D461" s="8"/>
      <c r="E461" s="13"/>
      <c r="F461" s="14"/>
      <c r="G461" s="13"/>
      <c r="H461" s="15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2">
        <v>3483</v>
      </c>
      <c r="AK461" s="118">
        <v>337</v>
      </c>
      <c r="AL461" s="119" t="s">
        <v>117</v>
      </c>
      <c r="AM461" s="119" t="s">
        <v>121</v>
      </c>
      <c r="AN461" s="119" t="s">
        <v>114</v>
      </c>
      <c r="AO461" s="119" t="s">
        <v>116</v>
      </c>
      <c r="AP461" s="119" t="s">
        <v>113</v>
      </c>
      <c r="AQ461" s="119" t="s">
        <v>120</v>
      </c>
      <c r="AR461" s="119" t="s">
        <v>124</v>
      </c>
      <c r="AS461" s="119" t="s">
        <v>123</v>
      </c>
      <c r="AT461" s="8"/>
      <c r="AU461" s="8">
        <f t="shared" si="51"/>
        <v>16</v>
      </c>
      <c r="AV461" s="8">
        <f t="shared" si="52"/>
        <v>256</v>
      </c>
      <c r="AW461" s="8">
        <f t="shared" si="53"/>
        <v>2</v>
      </c>
      <c r="AX461" s="8">
        <f t="shared" si="54"/>
        <v>8</v>
      </c>
      <c r="AY461" s="8">
        <f t="shared" si="55"/>
        <v>1</v>
      </c>
      <c r="AZ461" s="8">
        <f t="shared" si="56"/>
        <v>128</v>
      </c>
      <c r="BA461" s="8">
        <f t="shared" si="57"/>
        <v>2048</v>
      </c>
      <c r="BB461" s="8">
        <f t="shared" si="58"/>
        <v>1024</v>
      </c>
      <c r="BC461" s="8">
        <f t="shared" si="59"/>
        <v>3483</v>
      </c>
      <c r="BD461" s="8"/>
      <c r="BE461" s="8"/>
      <c r="BF461" s="8"/>
      <c r="BG461" s="8"/>
      <c r="BH461" s="8"/>
    </row>
    <row r="462" spans="2:60">
      <c r="B462" s="11"/>
      <c r="C462" s="12"/>
      <c r="D462" s="8"/>
      <c r="E462" s="13"/>
      <c r="F462" s="14"/>
      <c r="G462" s="13"/>
      <c r="H462" s="15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2">
        <v>2971</v>
      </c>
      <c r="AK462" s="118">
        <v>338</v>
      </c>
      <c r="AL462" s="119" t="s">
        <v>117</v>
      </c>
      <c r="AM462" s="119" t="s">
        <v>122</v>
      </c>
      <c r="AN462" s="119" t="s">
        <v>114</v>
      </c>
      <c r="AO462" s="119" t="s">
        <v>116</v>
      </c>
      <c r="AP462" s="119" t="s">
        <v>113</v>
      </c>
      <c r="AQ462" s="119" t="s">
        <v>120</v>
      </c>
      <c r="AR462" s="119" t="s">
        <v>124</v>
      </c>
      <c r="AS462" s="119" t="s">
        <v>121</v>
      </c>
      <c r="AT462" s="8"/>
      <c r="AU462" s="8">
        <f t="shared" si="51"/>
        <v>16</v>
      </c>
      <c r="AV462" s="8">
        <f t="shared" si="52"/>
        <v>512</v>
      </c>
      <c r="AW462" s="8">
        <f t="shared" si="53"/>
        <v>2</v>
      </c>
      <c r="AX462" s="8">
        <f t="shared" si="54"/>
        <v>8</v>
      </c>
      <c r="AY462" s="8">
        <f t="shared" si="55"/>
        <v>1</v>
      </c>
      <c r="AZ462" s="8">
        <f t="shared" si="56"/>
        <v>128</v>
      </c>
      <c r="BA462" s="8">
        <f t="shared" si="57"/>
        <v>2048</v>
      </c>
      <c r="BB462" s="8">
        <f t="shared" si="58"/>
        <v>256</v>
      </c>
      <c r="BC462" s="8">
        <f t="shared" si="59"/>
        <v>2971</v>
      </c>
      <c r="BD462" s="8"/>
      <c r="BE462" s="8"/>
      <c r="BF462" s="8"/>
      <c r="BG462" s="8"/>
      <c r="BH462" s="8"/>
    </row>
    <row r="463" spans="2:60">
      <c r="B463" s="11"/>
      <c r="C463" s="12"/>
      <c r="D463" s="8"/>
      <c r="E463" s="13"/>
      <c r="F463" s="14"/>
      <c r="G463" s="13"/>
      <c r="H463" s="15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2">
        <v>1947</v>
      </c>
      <c r="AK463" s="118">
        <v>339</v>
      </c>
      <c r="AL463" s="119" t="s">
        <v>117</v>
      </c>
      <c r="AM463" s="119" t="s">
        <v>122</v>
      </c>
      <c r="AN463" s="119" t="s">
        <v>114</v>
      </c>
      <c r="AO463" s="119" t="s">
        <v>116</v>
      </c>
      <c r="AP463" s="119" t="s">
        <v>113</v>
      </c>
      <c r="AQ463" s="119" t="s">
        <v>120</v>
      </c>
      <c r="AR463" s="119" t="s">
        <v>121</v>
      </c>
      <c r="AS463" s="119" t="s">
        <v>123</v>
      </c>
      <c r="AT463" s="8"/>
      <c r="AU463" s="8">
        <f t="shared" si="51"/>
        <v>16</v>
      </c>
      <c r="AV463" s="8">
        <f t="shared" si="52"/>
        <v>512</v>
      </c>
      <c r="AW463" s="8">
        <f t="shared" si="53"/>
        <v>2</v>
      </c>
      <c r="AX463" s="8">
        <f t="shared" si="54"/>
        <v>8</v>
      </c>
      <c r="AY463" s="8">
        <f t="shared" si="55"/>
        <v>1</v>
      </c>
      <c r="AZ463" s="8">
        <f t="shared" si="56"/>
        <v>128</v>
      </c>
      <c r="BA463" s="8">
        <f t="shared" si="57"/>
        <v>256</v>
      </c>
      <c r="BB463" s="8">
        <f t="shared" si="58"/>
        <v>1024</v>
      </c>
      <c r="BC463" s="8">
        <f t="shared" si="59"/>
        <v>1947</v>
      </c>
      <c r="BD463" s="8"/>
      <c r="BE463" s="8"/>
      <c r="BF463" s="8"/>
      <c r="BG463" s="8"/>
      <c r="BH463" s="8"/>
    </row>
    <row r="464" spans="2:60">
      <c r="B464" s="11"/>
      <c r="C464" s="12"/>
      <c r="D464" s="8"/>
      <c r="E464" s="13"/>
      <c r="F464" s="14"/>
      <c r="G464" s="13"/>
      <c r="H464" s="15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2">
        <v>3675</v>
      </c>
      <c r="AK464" s="118">
        <v>340</v>
      </c>
      <c r="AL464" s="119" t="s">
        <v>117</v>
      </c>
      <c r="AM464" s="119" t="s">
        <v>122</v>
      </c>
      <c r="AN464" s="119" t="s">
        <v>114</v>
      </c>
      <c r="AO464" s="119" t="s">
        <v>116</v>
      </c>
      <c r="AP464" s="119" t="s">
        <v>113</v>
      </c>
      <c r="AQ464" s="119" t="s">
        <v>119</v>
      </c>
      <c r="AR464" s="119" t="s">
        <v>124</v>
      </c>
      <c r="AS464" s="119" t="s">
        <v>123</v>
      </c>
      <c r="AT464" s="8"/>
      <c r="AU464" s="8">
        <f t="shared" si="51"/>
        <v>16</v>
      </c>
      <c r="AV464" s="8">
        <f t="shared" si="52"/>
        <v>512</v>
      </c>
      <c r="AW464" s="8">
        <f t="shared" si="53"/>
        <v>2</v>
      </c>
      <c r="AX464" s="8">
        <f t="shared" si="54"/>
        <v>8</v>
      </c>
      <c r="AY464" s="8">
        <f t="shared" si="55"/>
        <v>1</v>
      </c>
      <c r="AZ464" s="8">
        <f t="shared" si="56"/>
        <v>64</v>
      </c>
      <c r="BA464" s="8">
        <f t="shared" si="57"/>
        <v>2048</v>
      </c>
      <c r="BB464" s="8">
        <f t="shared" si="58"/>
        <v>1024</v>
      </c>
      <c r="BC464" s="8">
        <f t="shared" si="59"/>
        <v>3675</v>
      </c>
      <c r="BD464" s="8"/>
      <c r="BE464" s="8"/>
      <c r="BF464" s="8"/>
      <c r="BG464" s="8"/>
      <c r="BH464" s="8"/>
    </row>
    <row r="465" spans="2:60">
      <c r="B465" s="11"/>
      <c r="C465" s="12"/>
      <c r="D465" s="8"/>
      <c r="E465" s="13"/>
      <c r="F465" s="14"/>
      <c r="G465" s="13"/>
      <c r="H465" s="15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2">
        <v>3419</v>
      </c>
      <c r="AK465" s="118">
        <v>341</v>
      </c>
      <c r="AL465" s="119" t="s">
        <v>117</v>
      </c>
      <c r="AM465" s="119" t="s">
        <v>119</v>
      </c>
      <c r="AN465" s="119" t="s">
        <v>114</v>
      </c>
      <c r="AO465" s="119" t="s">
        <v>113</v>
      </c>
      <c r="AP465" s="119" t="s">
        <v>121</v>
      </c>
      <c r="AQ465" s="119" t="s">
        <v>116</v>
      </c>
      <c r="AR465" s="119" t="s">
        <v>124</v>
      </c>
      <c r="AS465" s="119" t="s">
        <v>123</v>
      </c>
      <c r="AT465" s="8"/>
      <c r="AU465" s="8">
        <f t="shared" si="51"/>
        <v>16</v>
      </c>
      <c r="AV465" s="8">
        <f t="shared" si="52"/>
        <v>64</v>
      </c>
      <c r="AW465" s="8">
        <f t="shared" si="53"/>
        <v>2</v>
      </c>
      <c r="AX465" s="8">
        <f t="shared" si="54"/>
        <v>1</v>
      </c>
      <c r="AY465" s="8">
        <f t="shared" si="55"/>
        <v>256</v>
      </c>
      <c r="AZ465" s="8">
        <f t="shared" si="56"/>
        <v>8</v>
      </c>
      <c r="BA465" s="8">
        <f t="shared" si="57"/>
        <v>2048</v>
      </c>
      <c r="BB465" s="8">
        <f t="shared" si="58"/>
        <v>1024</v>
      </c>
      <c r="BC465" s="8">
        <f t="shared" si="59"/>
        <v>3419</v>
      </c>
      <c r="BD465" s="8"/>
      <c r="BE465" s="8"/>
      <c r="BF465" s="8"/>
      <c r="BG465" s="8"/>
      <c r="BH465" s="8"/>
    </row>
    <row r="466" spans="2:60">
      <c r="B466" s="11"/>
      <c r="C466" s="12"/>
      <c r="D466" s="8"/>
      <c r="E466" s="13"/>
      <c r="F466" s="14"/>
      <c r="G466" s="13"/>
      <c r="H466" s="15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2">
        <v>2907</v>
      </c>
      <c r="AK466" s="118">
        <v>342</v>
      </c>
      <c r="AL466" s="119" t="s">
        <v>117</v>
      </c>
      <c r="AM466" s="119" t="s">
        <v>122</v>
      </c>
      <c r="AN466" s="119" t="s">
        <v>114</v>
      </c>
      <c r="AO466" s="119" t="s">
        <v>116</v>
      </c>
      <c r="AP466" s="119" t="s">
        <v>113</v>
      </c>
      <c r="AQ466" s="119" t="s">
        <v>119</v>
      </c>
      <c r="AR466" s="119" t="s">
        <v>124</v>
      </c>
      <c r="AS466" s="119" t="s">
        <v>121</v>
      </c>
      <c r="AT466" s="8"/>
      <c r="AU466" s="8">
        <f t="shared" si="51"/>
        <v>16</v>
      </c>
      <c r="AV466" s="8">
        <f t="shared" si="52"/>
        <v>512</v>
      </c>
      <c r="AW466" s="8">
        <f t="shared" si="53"/>
        <v>2</v>
      </c>
      <c r="AX466" s="8">
        <f t="shared" si="54"/>
        <v>8</v>
      </c>
      <c r="AY466" s="8">
        <f t="shared" si="55"/>
        <v>1</v>
      </c>
      <c r="AZ466" s="8">
        <f t="shared" si="56"/>
        <v>64</v>
      </c>
      <c r="BA466" s="8">
        <f t="shared" si="57"/>
        <v>2048</v>
      </c>
      <c r="BB466" s="8">
        <f t="shared" si="58"/>
        <v>256</v>
      </c>
      <c r="BC466" s="8">
        <f t="shared" si="59"/>
        <v>2907</v>
      </c>
      <c r="BD466" s="8"/>
      <c r="BE466" s="8"/>
      <c r="BF466" s="8"/>
      <c r="BG466" s="8"/>
      <c r="BH466" s="8"/>
    </row>
    <row r="467" spans="2:60">
      <c r="B467" s="11"/>
      <c r="C467" s="12"/>
      <c r="D467" s="8"/>
      <c r="E467" s="13"/>
      <c r="F467" s="14"/>
      <c r="G467" s="13"/>
      <c r="H467" s="15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2">
        <v>1883</v>
      </c>
      <c r="AK467" s="118">
        <v>343</v>
      </c>
      <c r="AL467" s="119" t="s">
        <v>117</v>
      </c>
      <c r="AM467" s="119" t="s">
        <v>122</v>
      </c>
      <c r="AN467" s="119" t="s">
        <v>114</v>
      </c>
      <c r="AO467" s="119" t="s">
        <v>116</v>
      </c>
      <c r="AP467" s="119" t="s">
        <v>113</v>
      </c>
      <c r="AQ467" s="119" t="s">
        <v>119</v>
      </c>
      <c r="AR467" s="119" t="s">
        <v>121</v>
      </c>
      <c r="AS467" s="119" t="s">
        <v>123</v>
      </c>
      <c r="AT467" s="8"/>
      <c r="AU467" s="8">
        <f t="shared" si="51"/>
        <v>16</v>
      </c>
      <c r="AV467" s="8">
        <f t="shared" si="52"/>
        <v>512</v>
      </c>
      <c r="AW467" s="8">
        <f t="shared" si="53"/>
        <v>2</v>
      </c>
      <c r="AX467" s="8">
        <f t="shared" si="54"/>
        <v>8</v>
      </c>
      <c r="AY467" s="8">
        <f t="shared" si="55"/>
        <v>1</v>
      </c>
      <c r="AZ467" s="8">
        <f t="shared" si="56"/>
        <v>64</v>
      </c>
      <c r="BA467" s="8">
        <f t="shared" si="57"/>
        <v>256</v>
      </c>
      <c r="BB467" s="8">
        <f t="shared" si="58"/>
        <v>1024</v>
      </c>
      <c r="BC467" s="8">
        <f t="shared" si="59"/>
        <v>1883</v>
      </c>
      <c r="BD467" s="8"/>
      <c r="BE467" s="8"/>
      <c r="BF467" s="8"/>
      <c r="BG467" s="8"/>
      <c r="BH467" s="8"/>
    </row>
    <row r="468" spans="2:60">
      <c r="B468" s="11"/>
      <c r="C468" s="12"/>
      <c r="D468" s="8"/>
      <c r="E468" s="13"/>
      <c r="F468" s="14"/>
      <c r="G468" s="13"/>
      <c r="H468" s="15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2">
        <v>3291</v>
      </c>
      <c r="AK468" s="118">
        <v>344</v>
      </c>
      <c r="AL468" s="119" t="s">
        <v>117</v>
      </c>
      <c r="AM468" s="119" t="s">
        <v>119</v>
      </c>
      <c r="AN468" s="119" t="s">
        <v>114</v>
      </c>
      <c r="AO468" s="119" t="s">
        <v>116</v>
      </c>
      <c r="AP468" s="119" t="s">
        <v>113</v>
      </c>
      <c r="AQ468" s="119" t="s">
        <v>120</v>
      </c>
      <c r="AR468" s="119" t="s">
        <v>124</v>
      </c>
      <c r="AS468" s="119" t="s">
        <v>123</v>
      </c>
      <c r="AT468" s="8"/>
      <c r="AU468" s="8">
        <f t="shared" si="51"/>
        <v>16</v>
      </c>
      <c r="AV468" s="8">
        <f t="shared" si="52"/>
        <v>64</v>
      </c>
      <c r="AW468" s="8">
        <f t="shared" si="53"/>
        <v>2</v>
      </c>
      <c r="AX468" s="8">
        <f t="shared" si="54"/>
        <v>8</v>
      </c>
      <c r="AY468" s="8">
        <f t="shared" si="55"/>
        <v>1</v>
      </c>
      <c r="AZ468" s="8">
        <f t="shared" si="56"/>
        <v>128</v>
      </c>
      <c r="BA468" s="8">
        <f t="shared" si="57"/>
        <v>2048</v>
      </c>
      <c r="BB468" s="8">
        <f t="shared" si="58"/>
        <v>1024</v>
      </c>
      <c r="BC468" s="8">
        <f t="shared" si="59"/>
        <v>3291</v>
      </c>
      <c r="BD468" s="8"/>
      <c r="BE468" s="8"/>
      <c r="BF468" s="8"/>
      <c r="BG468" s="8"/>
      <c r="BH468" s="8"/>
    </row>
    <row r="469" spans="2:60">
      <c r="B469" s="11"/>
      <c r="C469" s="12"/>
      <c r="D469" s="8"/>
      <c r="E469" s="13"/>
      <c r="F469" s="14"/>
      <c r="G469" s="13"/>
      <c r="H469" s="15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2">
        <v>2779</v>
      </c>
      <c r="AK469" s="118">
        <v>345</v>
      </c>
      <c r="AL469" s="119" t="s">
        <v>120</v>
      </c>
      <c r="AM469" s="119" t="s">
        <v>122</v>
      </c>
      <c r="AN469" s="119" t="s">
        <v>114</v>
      </c>
      <c r="AO469" s="119" t="s">
        <v>116</v>
      </c>
      <c r="AP469" s="119" t="s">
        <v>113</v>
      </c>
      <c r="AQ469" s="119" t="s">
        <v>119</v>
      </c>
      <c r="AR469" s="119" t="s">
        <v>124</v>
      </c>
      <c r="AS469" s="119" t="s">
        <v>117</v>
      </c>
      <c r="AT469" s="8"/>
      <c r="AU469" s="8">
        <f t="shared" si="51"/>
        <v>128</v>
      </c>
      <c r="AV469" s="8">
        <f t="shared" si="52"/>
        <v>512</v>
      </c>
      <c r="AW469" s="8">
        <f t="shared" si="53"/>
        <v>2</v>
      </c>
      <c r="AX469" s="8">
        <f t="shared" si="54"/>
        <v>8</v>
      </c>
      <c r="AY469" s="8">
        <f t="shared" si="55"/>
        <v>1</v>
      </c>
      <c r="AZ469" s="8">
        <f t="shared" si="56"/>
        <v>64</v>
      </c>
      <c r="BA469" s="8">
        <f t="shared" si="57"/>
        <v>2048</v>
      </c>
      <c r="BB469" s="8">
        <f t="shared" si="58"/>
        <v>16</v>
      </c>
      <c r="BC469" s="8">
        <f t="shared" si="59"/>
        <v>2779</v>
      </c>
      <c r="BD469" s="8"/>
      <c r="BE469" s="8"/>
      <c r="BF469" s="8"/>
      <c r="BG469" s="8"/>
      <c r="BH469" s="8"/>
    </row>
    <row r="470" spans="2:60">
      <c r="B470" s="11"/>
      <c r="C470" s="12"/>
      <c r="D470" s="8"/>
      <c r="E470" s="13"/>
      <c r="F470" s="14"/>
      <c r="G470" s="13"/>
      <c r="H470" s="15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2">
        <v>1755</v>
      </c>
      <c r="AK470" s="118">
        <v>346</v>
      </c>
      <c r="AL470" s="119" t="s">
        <v>120</v>
      </c>
      <c r="AM470" s="119" t="s">
        <v>122</v>
      </c>
      <c r="AN470" s="119" t="s">
        <v>114</v>
      </c>
      <c r="AO470" s="119" t="s">
        <v>116</v>
      </c>
      <c r="AP470" s="119" t="s">
        <v>113</v>
      </c>
      <c r="AQ470" s="119" t="s">
        <v>119</v>
      </c>
      <c r="AR470" s="119" t="s">
        <v>117</v>
      </c>
      <c r="AS470" s="119" t="s">
        <v>123</v>
      </c>
      <c r="AT470" s="8"/>
      <c r="AU470" s="8">
        <f t="shared" si="51"/>
        <v>128</v>
      </c>
      <c r="AV470" s="8">
        <f t="shared" si="52"/>
        <v>512</v>
      </c>
      <c r="AW470" s="8">
        <f t="shared" si="53"/>
        <v>2</v>
      </c>
      <c r="AX470" s="8">
        <f t="shared" si="54"/>
        <v>8</v>
      </c>
      <c r="AY470" s="8">
        <f t="shared" si="55"/>
        <v>1</v>
      </c>
      <c r="AZ470" s="8">
        <f t="shared" si="56"/>
        <v>64</v>
      </c>
      <c r="BA470" s="8">
        <f t="shared" si="57"/>
        <v>16</v>
      </c>
      <c r="BB470" s="8">
        <f t="shared" si="58"/>
        <v>1024</v>
      </c>
      <c r="BC470" s="8">
        <f t="shared" si="59"/>
        <v>1755</v>
      </c>
      <c r="BD470" s="8"/>
      <c r="BE470" s="8"/>
      <c r="BF470" s="8"/>
      <c r="BG470" s="8"/>
      <c r="BH470" s="8"/>
    </row>
    <row r="471" spans="2:60">
      <c r="B471" s="11"/>
      <c r="C471" s="12"/>
      <c r="D471" s="8"/>
      <c r="E471" s="13"/>
      <c r="F471" s="14"/>
      <c r="G471" s="13"/>
      <c r="H471" s="15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2">
        <v>2523</v>
      </c>
      <c r="AK471" s="118">
        <v>347</v>
      </c>
      <c r="AL471" s="119" t="s">
        <v>117</v>
      </c>
      <c r="AM471" s="119" t="s">
        <v>119</v>
      </c>
      <c r="AN471" s="119" t="s">
        <v>114</v>
      </c>
      <c r="AO471" s="119" t="s">
        <v>116</v>
      </c>
      <c r="AP471" s="119" t="s">
        <v>113</v>
      </c>
      <c r="AQ471" s="119" t="s">
        <v>120</v>
      </c>
      <c r="AR471" s="119" t="s">
        <v>124</v>
      </c>
      <c r="AS471" s="119" t="s">
        <v>121</v>
      </c>
      <c r="AT471" s="8"/>
      <c r="AU471" s="8">
        <f t="shared" si="51"/>
        <v>16</v>
      </c>
      <c r="AV471" s="8">
        <f t="shared" si="52"/>
        <v>64</v>
      </c>
      <c r="AW471" s="8">
        <f t="shared" si="53"/>
        <v>2</v>
      </c>
      <c r="AX471" s="8">
        <f t="shared" si="54"/>
        <v>8</v>
      </c>
      <c r="AY471" s="8">
        <f t="shared" si="55"/>
        <v>1</v>
      </c>
      <c r="AZ471" s="8">
        <f t="shared" si="56"/>
        <v>128</v>
      </c>
      <c r="BA471" s="8">
        <f t="shared" si="57"/>
        <v>2048</v>
      </c>
      <c r="BB471" s="8">
        <f t="shared" si="58"/>
        <v>256</v>
      </c>
      <c r="BC471" s="8">
        <f t="shared" si="59"/>
        <v>2523</v>
      </c>
      <c r="BD471" s="8"/>
      <c r="BE471" s="8"/>
      <c r="BF471" s="8"/>
      <c r="BG471" s="8"/>
      <c r="BH471" s="8"/>
    </row>
    <row r="472" spans="2:60">
      <c r="B472" s="11"/>
      <c r="C472" s="12"/>
      <c r="D472" s="8"/>
      <c r="E472" s="13"/>
      <c r="F472" s="14"/>
      <c r="G472" s="13"/>
      <c r="H472" s="1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2">
        <v>1499</v>
      </c>
      <c r="AK472" s="118">
        <v>348</v>
      </c>
      <c r="AL472" s="119" t="s">
        <v>117</v>
      </c>
      <c r="AM472" s="119" t="s">
        <v>119</v>
      </c>
      <c r="AN472" s="119" t="s">
        <v>114</v>
      </c>
      <c r="AO472" s="119" t="s">
        <v>116</v>
      </c>
      <c r="AP472" s="119" t="s">
        <v>113</v>
      </c>
      <c r="AQ472" s="119" t="s">
        <v>120</v>
      </c>
      <c r="AR472" s="119" t="s">
        <v>121</v>
      </c>
      <c r="AS472" s="119" t="s">
        <v>123</v>
      </c>
      <c r="AT472" s="8"/>
      <c r="AU472" s="8">
        <f t="shared" si="51"/>
        <v>16</v>
      </c>
      <c r="AV472" s="8">
        <f t="shared" si="52"/>
        <v>64</v>
      </c>
      <c r="AW472" s="8">
        <f t="shared" si="53"/>
        <v>2</v>
      </c>
      <c r="AX472" s="8">
        <f t="shared" si="54"/>
        <v>8</v>
      </c>
      <c r="AY472" s="8">
        <f t="shared" si="55"/>
        <v>1</v>
      </c>
      <c r="AZ472" s="8">
        <f t="shared" si="56"/>
        <v>128</v>
      </c>
      <c r="BA472" s="8">
        <f t="shared" si="57"/>
        <v>256</v>
      </c>
      <c r="BB472" s="8">
        <f t="shared" si="58"/>
        <v>1024</v>
      </c>
      <c r="BC472" s="8">
        <f t="shared" si="59"/>
        <v>1499</v>
      </c>
      <c r="BD472" s="8"/>
      <c r="BE472" s="8"/>
      <c r="BF472" s="8"/>
      <c r="BG472" s="8"/>
      <c r="BH472" s="8"/>
    </row>
    <row r="473" spans="2:60">
      <c r="B473" s="11"/>
      <c r="C473" s="12"/>
      <c r="D473" s="8"/>
      <c r="E473" s="13"/>
      <c r="F473" s="14"/>
      <c r="G473" s="13"/>
      <c r="H473" s="15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2">
        <v>987</v>
      </c>
      <c r="AK473" s="118">
        <v>349</v>
      </c>
      <c r="AL473" s="119" t="s">
        <v>120</v>
      </c>
      <c r="AM473" s="119" t="s">
        <v>122</v>
      </c>
      <c r="AN473" s="119" t="s">
        <v>114</v>
      </c>
      <c r="AO473" s="119" t="s">
        <v>116</v>
      </c>
      <c r="AP473" s="119" t="s">
        <v>113</v>
      </c>
      <c r="AQ473" s="119" t="s">
        <v>119</v>
      </c>
      <c r="AR473" s="119" t="s">
        <v>117</v>
      </c>
      <c r="AS473" s="119" t="s">
        <v>121</v>
      </c>
      <c r="AT473" s="8"/>
      <c r="AU473" s="8">
        <f t="shared" si="51"/>
        <v>128</v>
      </c>
      <c r="AV473" s="8">
        <f t="shared" si="52"/>
        <v>512</v>
      </c>
      <c r="AW473" s="8">
        <f t="shared" si="53"/>
        <v>2</v>
      </c>
      <c r="AX473" s="8">
        <f t="shared" si="54"/>
        <v>8</v>
      </c>
      <c r="AY473" s="8">
        <f t="shared" si="55"/>
        <v>1</v>
      </c>
      <c r="AZ473" s="8">
        <f t="shared" si="56"/>
        <v>64</v>
      </c>
      <c r="BA473" s="8">
        <f t="shared" si="57"/>
        <v>16</v>
      </c>
      <c r="BB473" s="8">
        <f t="shared" si="58"/>
        <v>256</v>
      </c>
      <c r="BC473" s="8">
        <f t="shared" si="59"/>
        <v>987</v>
      </c>
      <c r="BD473" s="8"/>
      <c r="BE473" s="8"/>
      <c r="BF473" s="8"/>
      <c r="BG473" s="8"/>
      <c r="BH473" s="8"/>
    </row>
    <row r="474" spans="2:60">
      <c r="B474" s="11"/>
      <c r="C474" s="12"/>
      <c r="D474" s="8"/>
      <c r="E474" s="13"/>
      <c r="F474" s="14"/>
      <c r="G474" s="13"/>
      <c r="H474" s="15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2">
        <v>3643</v>
      </c>
      <c r="AK474" s="118">
        <v>350</v>
      </c>
      <c r="AL474" s="119" t="s">
        <v>117</v>
      </c>
      <c r="AM474" s="119" t="s">
        <v>122</v>
      </c>
      <c r="AN474" s="119" t="s">
        <v>114</v>
      </c>
      <c r="AO474" s="119" t="s">
        <v>116</v>
      </c>
      <c r="AP474" s="119" t="s">
        <v>113</v>
      </c>
      <c r="AQ474" s="119" t="s">
        <v>118</v>
      </c>
      <c r="AR474" s="119" t="s">
        <v>124</v>
      </c>
      <c r="AS474" s="119" t="s">
        <v>123</v>
      </c>
      <c r="AT474" s="8"/>
      <c r="AU474" s="8">
        <f t="shared" si="51"/>
        <v>16</v>
      </c>
      <c r="AV474" s="8">
        <f t="shared" si="52"/>
        <v>512</v>
      </c>
      <c r="AW474" s="8">
        <f t="shared" si="53"/>
        <v>2</v>
      </c>
      <c r="AX474" s="8">
        <f t="shared" si="54"/>
        <v>8</v>
      </c>
      <c r="AY474" s="8">
        <f t="shared" si="55"/>
        <v>1</v>
      </c>
      <c r="AZ474" s="8">
        <f t="shared" si="56"/>
        <v>32</v>
      </c>
      <c r="BA474" s="8">
        <f t="shared" si="57"/>
        <v>2048</v>
      </c>
      <c r="BB474" s="8">
        <f t="shared" si="58"/>
        <v>1024</v>
      </c>
      <c r="BC474" s="8">
        <f t="shared" si="59"/>
        <v>3643</v>
      </c>
      <c r="BD474" s="8"/>
      <c r="BE474" s="8"/>
      <c r="BF474" s="8"/>
      <c r="BG474" s="8"/>
      <c r="BH474" s="8"/>
    </row>
    <row r="475" spans="2:60">
      <c r="B475" s="11"/>
      <c r="C475" s="12"/>
      <c r="D475" s="8"/>
      <c r="E475" s="13"/>
      <c r="F475" s="14"/>
      <c r="G475" s="13"/>
      <c r="H475" s="15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2">
        <v>3387</v>
      </c>
      <c r="AK475" s="118">
        <v>351</v>
      </c>
      <c r="AL475" s="119" t="s">
        <v>117</v>
      </c>
      <c r="AM475" s="119" t="s">
        <v>121</v>
      </c>
      <c r="AN475" s="119" t="s">
        <v>114</v>
      </c>
      <c r="AO475" s="119" t="s">
        <v>116</v>
      </c>
      <c r="AP475" s="119" t="s">
        <v>113</v>
      </c>
      <c r="AQ475" s="119" t="s">
        <v>118</v>
      </c>
      <c r="AR475" s="119" t="s">
        <v>124</v>
      </c>
      <c r="AS475" s="119" t="s">
        <v>123</v>
      </c>
      <c r="AT475" s="8"/>
      <c r="AU475" s="8">
        <f t="shared" si="51"/>
        <v>16</v>
      </c>
      <c r="AV475" s="8">
        <f t="shared" si="52"/>
        <v>256</v>
      </c>
      <c r="AW475" s="8">
        <f t="shared" si="53"/>
        <v>2</v>
      </c>
      <c r="AX475" s="8">
        <f t="shared" si="54"/>
        <v>8</v>
      </c>
      <c r="AY475" s="8">
        <f t="shared" si="55"/>
        <v>1</v>
      </c>
      <c r="AZ475" s="8">
        <f t="shared" si="56"/>
        <v>32</v>
      </c>
      <c r="BA475" s="8">
        <f t="shared" si="57"/>
        <v>2048</v>
      </c>
      <c r="BB475" s="8">
        <f t="shared" si="58"/>
        <v>1024</v>
      </c>
      <c r="BC475" s="8">
        <f t="shared" si="59"/>
        <v>3387</v>
      </c>
      <c r="BD475" s="8"/>
      <c r="BE475" s="8"/>
      <c r="BF475" s="8"/>
      <c r="BG475" s="8"/>
      <c r="BH475" s="8"/>
    </row>
    <row r="476" spans="2:60">
      <c r="B476" s="11"/>
      <c r="C476" s="12"/>
      <c r="D476" s="8"/>
      <c r="E476" s="13"/>
      <c r="F476" s="14"/>
      <c r="G476" s="13"/>
      <c r="H476" s="15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2">
        <v>2875</v>
      </c>
      <c r="AK476" s="118">
        <v>352</v>
      </c>
      <c r="AL476" s="119" t="s">
        <v>117</v>
      </c>
      <c r="AM476" s="119" t="s">
        <v>122</v>
      </c>
      <c r="AN476" s="119" t="s">
        <v>114</v>
      </c>
      <c r="AO476" s="119" t="s">
        <v>116</v>
      </c>
      <c r="AP476" s="119" t="s">
        <v>113</v>
      </c>
      <c r="AQ476" s="119" t="s">
        <v>118</v>
      </c>
      <c r="AR476" s="119" t="s">
        <v>124</v>
      </c>
      <c r="AS476" s="119" t="s">
        <v>121</v>
      </c>
      <c r="AT476" s="8"/>
      <c r="AU476" s="8">
        <f t="shared" si="51"/>
        <v>16</v>
      </c>
      <c r="AV476" s="8">
        <f t="shared" si="52"/>
        <v>512</v>
      </c>
      <c r="AW476" s="8">
        <f t="shared" si="53"/>
        <v>2</v>
      </c>
      <c r="AX476" s="8">
        <f t="shared" si="54"/>
        <v>8</v>
      </c>
      <c r="AY476" s="8">
        <f t="shared" si="55"/>
        <v>1</v>
      </c>
      <c r="AZ476" s="8">
        <f t="shared" si="56"/>
        <v>32</v>
      </c>
      <c r="BA476" s="8">
        <f t="shared" si="57"/>
        <v>2048</v>
      </c>
      <c r="BB476" s="8">
        <f t="shared" si="58"/>
        <v>256</v>
      </c>
      <c r="BC476" s="8">
        <f t="shared" si="59"/>
        <v>2875</v>
      </c>
      <c r="BD476" s="8"/>
      <c r="BE476" s="8"/>
      <c r="BF476" s="8"/>
      <c r="BG476" s="8"/>
      <c r="BH476" s="8"/>
    </row>
    <row r="477" spans="2:60">
      <c r="B477" s="11"/>
      <c r="C477" s="12"/>
      <c r="D477" s="8"/>
      <c r="E477" s="13"/>
      <c r="F477" s="14"/>
      <c r="G477" s="13"/>
      <c r="H477" s="15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2">
        <v>1851</v>
      </c>
      <c r="AK477" s="118">
        <v>353</v>
      </c>
      <c r="AL477" s="119" t="s">
        <v>117</v>
      </c>
      <c r="AM477" s="119" t="s">
        <v>122</v>
      </c>
      <c r="AN477" s="119" t="s">
        <v>114</v>
      </c>
      <c r="AO477" s="119" t="s">
        <v>116</v>
      </c>
      <c r="AP477" s="119" t="s">
        <v>113</v>
      </c>
      <c r="AQ477" s="119" t="s">
        <v>118</v>
      </c>
      <c r="AR477" s="119" t="s">
        <v>121</v>
      </c>
      <c r="AS477" s="119" t="s">
        <v>123</v>
      </c>
      <c r="AT477" s="8"/>
      <c r="AU477" s="8">
        <f t="shared" si="51"/>
        <v>16</v>
      </c>
      <c r="AV477" s="8">
        <f t="shared" si="52"/>
        <v>512</v>
      </c>
      <c r="AW477" s="8">
        <f t="shared" si="53"/>
        <v>2</v>
      </c>
      <c r="AX477" s="8">
        <f t="shared" si="54"/>
        <v>8</v>
      </c>
      <c r="AY477" s="8">
        <f t="shared" si="55"/>
        <v>1</v>
      </c>
      <c r="AZ477" s="8">
        <f t="shared" si="56"/>
        <v>32</v>
      </c>
      <c r="BA477" s="8">
        <f t="shared" si="57"/>
        <v>256</v>
      </c>
      <c r="BB477" s="8">
        <f t="shared" si="58"/>
        <v>1024</v>
      </c>
      <c r="BC477" s="8">
        <f t="shared" si="59"/>
        <v>1851</v>
      </c>
      <c r="BD477" s="8"/>
      <c r="BE477" s="8"/>
      <c r="BF477" s="8"/>
      <c r="BG477" s="8"/>
      <c r="BH477" s="8"/>
    </row>
    <row r="478" spans="2:60">
      <c r="B478" s="11"/>
      <c r="C478" s="12"/>
      <c r="D478" s="8"/>
      <c r="E478" s="13"/>
      <c r="F478" s="14"/>
      <c r="G478" s="13"/>
      <c r="H478" s="15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2">
        <v>3259</v>
      </c>
      <c r="AK478" s="118">
        <v>354</v>
      </c>
      <c r="AL478" s="119" t="s">
        <v>120</v>
      </c>
      <c r="AM478" s="119" t="s">
        <v>117</v>
      </c>
      <c r="AN478" s="119" t="s">
        <v>114</v>
      </c>
      <c r="AO478" s="119" t="s">
        <v>116</v>
      </c>
      <c r="AP478" s="119" t="s">
        <v>113</v>
      </c>
      <c r="AQ478" s="119" t="s">
        <v>118</v>
      </c>
      <c r="AR478" s="119" t="s">
        <v>124</v>
      </c>
      <c r="AS478" s="119" t="s">
        <v>123</v>
      </c>
      <c r="AT478" s="8"/>
      <c r="AU478" s="8">
        <f t="shared" si="51"/>
        <v>128</v>
      </c>
      <c r="AV478" s="8">
        <f t="shared" si="52"/>
        <v>16</v>
      </c>
      <c r="AW478" s="8">
        <f t="shared" si="53"/>
        <v>2</v>
      </c>
      <c r="AX478" s="8">
        <f t="shared" si="54"/>
        <v>8</v>
      </c>
      <c r="AY478" s="8">
        <f t="shared" si="55"/>
        <v>1</v>
      </c>
      <c r="AZ478" s="8">
        <f t="shared" si="56"/>
        <v>32</v>
      </c>
      <c r="BA478" s="8">
        <f t="shared" si="57"/>
        <v>2048</v>
      </c>
      <c r="BB478" s="8">
        <f t="shared" si="58"/>
        <v>1024</v>
      </c>
      <c r="BC478" s="8">
        <f t="shared" si="59"/>
        <v>3259</v>
      </c>
      <c r="BD478" s="8"/>
      <c r="BE478" s="8"/>
      <c r="BF478" s="8"/>
      <c r="BG478" s="8"/>
      <c r="BH478" s="8"/>
    </row>
    <row r="479" spans="2:60">
      <c r="B479" s="11"/>
      <c r="C479" s="12"/>
      <c r="D479" s="8"/>
      <c r="E479" s="13"/>
      <c r="F479" s="14"/>
      <c r="G479" s="13"/>
      <c r="H479" s="15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2">
        <v>2747</v>
      </c>
      <c r="AK479" s="118">
        <v>355</v>
      </c>
      <c r="AL479" s="119" t="s">
        <v>120</v>
      </c>
      <c r="AM479" s="119" t="s">
        <v>122</v>
      </c>
      <c r="AN479" s="119" t="s">
        <v>114</v>
      </c>
      <c r="AO479" s="119" t="s">
        <v>116</v>
      </c>
      <c r="AP479" s="119" t="s">
        <v>113</v>
      </c>
      <c r="AQ479" s="119" t="s">
        <v>118</v>
      </c>
      <c r="AR479" s="119" t="s">
        <v>124</v>
      </c>
      <c r="AS479" s="119" t="s">
        <v>117</v>
      </c>
      <c r="AT479" s="8"/>
      <c r="AU479" s="8">
        <f t="shared" si="51"/>
        <v>128</v>
      </c>
      <c r="AV479" s="8">
        <f t="shared" si="52"/>
        <v>512</v>
      </c>
      <c r="AW479" s="8">
        <f t="shared" si="53"/>
        <v>2</v>
      </c>
      <c r="AX479" s="8">
        <f t="shared" si="54"/>
        <v>8</v>
      </c>
      <c r="AY479" s="8">
        <f t="shared" si="55"/>
        <v>1</v>
      </c>
      <c r="AZ479" s="8">
        <f t="shared" si="56"/>
        <v>32</v>
      </c>
      <c r="BA479" s="8">
        <f t="shared" si="57"/>
        <v>2048</v>
      </c>
      <c r="BB479" s="8">
        <f t="shared" si="58"/>
        <v>16</v>
      </c>
      <c r="BC479" s="8">
        <f t="shared" si="59"/>
        <v>2747</v>
      </c>
      <c r="BD479" s="8"/>
      <c r="BE479" s="8"/>
      <c r="BF479" s="8"/>
      <c r="BG479" s="8"/>
      <c r="BH479" s="8"/>
    </row>
    <row r="480" spans="2:60">
      <c r="B480" s="11"/>
      <c r="C480" s="12"/>
      <c r="D480" s="8"/>
      <c r="E480" s="13"/>
      <c r="F480" s="14"/>
      <c r="G480" s="13"/>
      <c r="H480" s="15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2">
        <v>1723</v>
      </c>
      <c r="AK480" s="118">
        <v>356</v>
      </c>
      <c r="AL480" s="119" t="s">
        <v>120</v>
      </c>
      <c r="AM480" s="119" t="s">
        <v>122</v>
      </c>
      <c r="AN480" s="119" t="s">
        <v>114</v>
      </c>
      <c r="AO480" s="119" t="s">
        <v>116</v>
      </c>
      <c r="AP480" s="119" t="s">
        <v>113</v>
      </c>
      <c r="AQ480" s="119" t="s">
        <v>118</v>
      </c>
      <c r="AR480" s="119" t="s">
        <v>117</v>
      </c>
      <c r="AS480" s="119" t="s">
        <v>123</v>
      </c>
      <c r="AT480" s="8"/>
      <c r="AU480" s="8">
        <f t="shared" si="51"/>
        <v>128</v>
      </c>
      <c r="AV480" s="8">
        <f t="shared" si="52"/>
        <v>512</v>
      </c>
      <c r="AW480" s="8">
        <f t="shared" si="53"/>
        <v>2</v>
      </c>
      <c r="AX480" s="8">
        <f t="shared" si="54"/>
        <v>8</v>
      </c>
      <c r="AY480" s="8">
        <f t="shared" si="55"/>
        <v>1</v>
      </c>
      <c r="AZ480" s="8">
        <f t="shared" si="56"/>
        <v>32</v>
      </c>
      <c r="BA480" s="8">
        <f t="shared" si="57"/>
        <v>16</v>
      </c>
      <c r="BB480" s="8">
        <f t="shared" si="58"/>
        <v>1024</v>
      </c>
      <c r="BC480" s="8">
        <f t="shared" si="59"/>
        <v>1723</v>
      </c>
      <c r="BD480" s="8"/>
      <c r="BE480" s="8"/>
      <c r="BF480" s="8"/>
      <c r="BG480" s="8"/>
      <c r="BH480" s="8"/>
    </row>
    <row r="481" spans="2:60">
      <c r="B481" s="11"/>
      <c r="C481" s="12"/>
      <c r="D481" s="8"/>
      <c r="E481" s="13"/>
      <c r="F481" s="14"/>
      <c r="G481" s="13"/>
      <c r="H481" s="15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2">
        <v>2491</v>
      </c>
      <c r="AK481" s="118">
        <v>357</v>
      </c>
      <c r="AL481" s="119" t="s">
        <v>120</v>
      </c>
      <c r="AM481" s="119" t="s">
        <v>117</v>
      </c>
      <c r="AN481" s="119" t="s">
        <v>114</v>
      </c>
      <c r="AO481" s="119" t="s">
        <v>116</v>
      </c>
      <c r="AP481" s="119" t="s">
        <v>113</v>
      </c>
      <c r="AQ481" s="119" t="s">
        <v>118</v>
      </c>
      <c r="AR481" s="119" t="s">
        <v>124</v>
      </c>
      <c r="AS481" s="119" t="s">
        <v>121</v>
      </c>
      <c r="AT481" s="8"/>
      <c r="AU481" s="8">
        <f t="shared" si="51"/>
        <v>128</v>
      </c>
      <c r="AV481" s="8">
        <f t="shared" si="52"/>
        <v>16</v>
      </c>
      <c r="AW481" s="8">
        <f t="shared" si="53"/>
        <v>2</v>
      </c>
      <c r="AX481" s="8">
        <f t="shared" si="54"/>
        <v>8</v>
      </c>
      <c r="AY481" s="8">
        <f t="shared" si="55"/>
        <v>1</v>
      </c>
      <c r="AZ481" s="8">
        <f t="shared" si="56"/>
        <v>32</v>
      </c>
      <c r="BA481" s="8">
        <f t="shared" si="57"/>
        <v>2048</v>
      </c>
      <c r="BB481" s="8">
        <f t="shared" si="58"/>
        <v>256</v>
      </c>
      <c r="BC481" s="8">
        <f t="shared" si="59"/>
        <v>2491</v>
      </c>
      <c r="BD481" s="8"/>
      <c r="BE481" s="8"/>
      <c r="BF481" s="8"/>
      <c r="BG481" s="8"/>
      <c r="BH481" s="8"/>
    </row>
    <row r="482" spans="2:60">
      <c r="B482" s="11"/>
      <c r="C482" s="12"/>
      <c r="D482" s="8"/>
      <c r="E482" s="13"/>
      <c r="F482" s="14"/>
      <c r="G482" s="13"/>
      <c r="H482" s="15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2">
        <v>1467</v>
      </c>
      <c r="AK482" s="118">
        <v>358</v>
      </c>
      <c r="AL482" s="119" t="s">
        <v>120</v>
      </c>
      <c r="AM482" s="119" t="s">
        <v>117</v>
      </c>
      <c r="AN482" s="119" t="s">
        <v>114</v>
      </c>
      <c r="AO482" s="119" t="s">
        <v>116</v>
      </c>
      <c r="AP482" s="119" t="s">
        <v>113</v>
      </c>
      <c r="AQ482" s="119" t="s">
        <v>118</v>
      </c>
      <c r="AR482" s="119" t="s">
        <v>121</v>
      </c>
      <c r="AS482" s="119" t="s">
        <v>123</v>
      </c>
      <c r="AT482" s="8"/>
      <c r="AU482" s="8">
        <f t="shared" si="51"/>
        <v>128</v>
      </c>
      <c r="AV482" s="8">
        <f t="shared" si="52"/>
        <v>16</v>
      </c>
      <c r="AW482" s="8">
        <f t="shared" si="53"/>
        <v>2</v>
      </c>
      <c r="AX482" s="8">
        <f t="shared" si="54"/>
        <v>8</v>
      </c>
      <c r="AY482" s="8">
        <f t="shared" si="55"/>
        <v>1</v>
      </c>
      <c r="AZ482" s="8">
        <f t="shared" si="56"/>
        <v>32</v>
      </c>
      <c r="BA482" s="8">
        <f t="shared" si="57"/>
        <v>256</v>
      </c>
      <c r="BB482" s="8">
        <f t="shared" si="58"/>
        <v>1024</v>
      </c>
      <c r="BC482" s="8">
        <f t="shared" si="59"/>
        <v>1467</v>
      </c>
      <c r="BD482" s="8"/>
      <c r="BE482" s="8"/>
      <c r="BF482" s="8"/>
      <c r="BG482" s="8"/>
      <c r="BH482" s="8"/>
    </row>
    <row r="483" spans="2:60">
      <c r="B483" s="11"/>
      <c r="C483" s="12"/>
      <c r="D483" s="8"/>
      <c r="E483" s="13"/>
      <c r="F483" s="14"/>
      <c r="G483" s="13"/>
      <c r="H483" s="15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2">
        <v>955</v>
      </c>
      <c r="AK483" s="118">
        <v>359</v>
      </c>
      <c r="AL483" s="119" t="s">
        <v>120</v>
      </c>
      <c r="AM483" s="119" t="s">
        <v>122</v>
      </c>
      <c r="AN483" s="119" t="s">
        <v>114</v>
      </c>
      <c r="AO483" s="119" t="s">
        <v>116</v>
      </c>
      <c r="AP483" s="119" t="s">
        <v>113</v>
      </c>
      <c r="AQ483" s="119" t="s">
        <v>118</v>
      </c>
      <c r="AR483" s="119" t="s">
        <v>117</v>
      </c>
      <c r="AS483" s="119" t="s">
        <v>121</v>
      </c>
      <c r="AT483" s="8"/>
      <c r="AU483" s="8">
        <f t="shared" si="51"/>
        <v>128</v>
      </c>
      <c r="AV483" s="8">
        <f t="shared" si="52"/>
        <v>512</v>
      </c>
      <c r="AW483" s="8">
        <f t="shared" si="53"/>
        <v>2</v>
      </c>
      <c r="AX483" s="8">
        <f t="shared" si="54"/>
        <v>8</v>
      </c>
      <c r="AY483" s="8">
        <f t="shared" si="55"/>
        <v>1</v>
      </c>
      <c r="AZ483" s="8">
        <f t="shared" si="56"/>
        <v>32</v>
      </c>
      <c r="BA483" s="8">
        <f t="shared" si="57"/>
        <v>16</v>
      </c>
      <c r="BB483" s="8">
        <f t="shared" si="58"/>
        <v>256</v>
      </c>
      <c r="BC483" s="8">
        <f t="shared" si="59"/>
        <v>955</v>
      </c>
      <c r="BD483" s="8"/>
      <c r="BE483" s="8"/>
      <c r="BF483" s="8"/>
      <c r="BG483" s="8"/>
      <c r="BH483" s="8"/>
    </row>
    <row r="484" spans="2:60">
      <c r="B484" s="11"/>
      <c r="C484" s="12"/>
      <c r="D484" s="8"/>
      <c r="E484" s="13"/>
      <c r="F484" s="14"/>
      <c r="G484" s="13"/>
      <c r="H484" s="15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2">
        <v>3195</v>
      </c>
      <c r="AK484" s="118">
        <v>360</v>
      </c>
      <c r="AL484" s="119" t="s">
        <v>117</v>
      </c>
      <c r="AM484" s="119" t="s">
        <v>119</v>
      </c>
      <c r="AN484" s="119" t="s">
        <v>114</v>
      </c>
      <c r="AO484" s="119" t="s">
        <v>116</v>
      </c>
      <c r="AP484" s="119" t="s">
        <v>113</v>
      </c>
      <c r="AQ484" s="119" t="s">
        <v>118</v>
      </c>
      <c r="AR484" s="119" t="s">
        <v>124</v>
      </c>
      <c r="AS484" s="119" t="s">
        <v>123</v>
      </c>
      <c r="AT484" s="8"/>
      <c r="AU484" s="8">
        <f t="shared" si="51"/>
        <v>16</v>
      </c>
      <c r="AV484" s="8">
        <f t="shared" si="52"/>
        <v>64</v>
      </c>
      <c r="AW484" s="8">
        <f t="shared" si="53"/>
        <v>2</v>
      </c>
      <c r="AX484" s="8">
        <f t="shared" si="54"/>
        <v>8</v>
      </c>
      <c r="AY484" s="8">
        <f t="shared" si="55"/>
        <v>1</v>
      </c>
      <c r="AZ484" s="8">
        <f t="shared" si="56"/>
        <v>32</v>
      </c>
      <c r="BA484" s="8">
        <f t="shared" si="57"/>
        <v>2048</v>
      </c>
      <c r="BB484" s="8">
        <f t="shared" si="58"/>
        <v>1024</v>
      </c>
      <c r="BC484" s="8">
        <f t="shared" si="59"/>
        <v>3195</v>
      </c>
      <c r="BD484" s="8"/>
      <c r="BE484" s="8"/>
      <c r="BF484" s="8"/>
      <c r="BG484" s="8"/>
      <c r="BH484" s="8"/>
    </row>
    <row r="485" spans="2:60">
      <c r="B485" s="11"/>
      <c r="C485" s="12"/>
      <c r="D485" s="8"/>
      <c r="E485" s="13"/>
      <c r="F485" s="14"/>
      <c r="G485" s="13"/>
      <c r="H485" s="15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2">
        <v>2683</v>
      </c>
      <c r="AK485" s="118">
        <v>361</v>
      </c>
      <c r="AL485" s="119" t="s">
        <v>117</v>
      </c>
      <c r="AM485" s="119" t="s">
        <v>119</v>
      </c>
      <c r="AN485" s="119" t="s">
        <v>114</v>
      </c>
      <c r="AO485" s="119" t="s">
        <v>116</v>
      </c>
      <c r="AP485" s="119" t="s">
        <v>113</v>
      </c>
      <c r="AQ485" s="119" t="s">
        <v>118</v>
      </c>
      <c r="AR485" s="119" t="s">
        <v>124</v>
      </c>
      <c r="AS485" s="119" t="s">
        <v>122</v>
      </c>
      <c r="AT485" s="8"/>
      <c r="AU485" s="8">
        <f t="shared" si="51"/>
        <v>16</v>
      </c>
      <c r="AV485" s="8">
        <f t="shared" si="52"/>
        <v>64</v>
      </c>
      <c r="AW485" s="8">
        <f t="shared" si="53"/>
        <v>2</v>
      </c>
      <c r="AX485" s="8">
        <f t="shared" si="54"/>
        <v>8</v>
      </c>
      <c r="AY485" s="8">
        <f t="shared" si="55"/>
        <v>1</v>
      </c>
      <c r="AZ485" s="8">
        <f t="shared" si="56"/>
        <v>32</v>
      </c>
      <c r="BA485" s="8">
        <f t="shared" si="57"/>
        <v>2048</v>
      </c>
      <c r="BB485" s="8">
        <f t="shared" si="58"/>
        <v>512</v>
      </c>
      <c r="BC485" s="8">
        <f t="shared" si="59"/>
        <v>2683</v>
      </c>
      <c r="BD485" s="8"/>
      <c r="BE485" s="8"/>
      <c r="BF485" s="8"/>
      <c r="BG485" s="8"/>
      <c r="BH485" s="8"/>
    </row>
    <row r="486" spans="2:60">
      <c r="B486" s="11"/>
      <c r="C486" s="12"/>
      <c r="D486" s="8"/>
      <c r="E486" s="13"/>
      <c r="F486" s="14"/>
      <c r="G486" s="13"/>
      <c r="H486" s="15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2">
        <v>1659</v>
      </c>
      <c r="AK486" s="118">
        <v>362</v>
      </c>
      <c r="AL486" s="119" t="s">
        <v>117</v>
      </c>
      <c r="AM486" s="119" t="s">
        <v>119</v>
      </c>
      <c r="AN486" s="119" t="s">
        <v>114</v>
      </c>
      <c r="AO486" s="119" t="s">
        <v>116</v>
      </c>
      <c r="AP486" s="119" t="s">
        <v>113</v>
      </c>
      <c r="AQ486" s="119" t="s">
        <v>118</v>
      </c>
      <c r="AR486" s="119" t="s">
        <v>122</v>
      </c>
      <c r="AS486" s="119" t="s">
        <v>123</v>
      </c>
      <c r="AT486" s="8"/>
      <c r="AU486" s="8">
        <f t="shared" si="51"/>
        <v>16</v>
      </c>
      <c r="AV486" s="8">
        <f t="shared" si="52"/>
        <v>64</v>
      </c>
      <c r="AW486" s="8">
        <f t="shared" si="53"/>
        <v>2</v>
      </c>
      <c r="AX486" s="8">
        <f t="shared" si="54"/>
        <v>8</v>
      </c>
      <c r="AY486" s="8">
        <f t="shared" si="55"/>
        <v>1</v>
      </c>
      <c r="AZ486" s="8">
        <f t="shared" si="56"/>
        <v>32</v>
      </c>
      <c r="BA486" s="8">
        <f t="shared" si="57"/>
        <v>512</v>
      </c>
      <c r="BB486" s="8">
        <f t="shared" si="58"/>
        <v>1024</v>
      </c>
      <c r="BC486" s="8">
        <f t="shared" si="59"/>
        <v>1659</v>
      </c>
      <c r="BD486" s="8"/>
      <c r="BE486" s="8"/>
      <c r="BF486" s="8"/>
      <c r="BG486" s="8"/>
      <c r="BH486" s="8"/>
    </row>
    <row r="487" spans="2:60">
      <c r="B487" s="11"/>
      <c r="C487" s="12"/>
      <c r="D487" s="8"/>
      <c r="E487" s="13"/>
      <c r="F487" s="14"/>
      <c r="G487" s="13"/>
      <c r="H487" s="15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2">
        <v>2427</v>
      </c>
      <c r="AK487" s="118">
        <v>363</v>
      </c>
      <c r="AL487" s="119" t="s">
        <v>117</v>
      </c>
      <c r="AM487" s="119" t="s">
        <v>119</v>
      </c>
      <c r="AN487" s="119" t="s">
        <v>114</v>
      </c>
      <c r="AO487" s="119" t="s">
        <v>116</v>
      </c>
      <c r="AP487" s="119" t="s">
        <v>113</v>
      </c>
      <c r="AQ487" s="119" t="s">
        <v>118</v>
      </c>
      <c r="AR487" s="119" t="s">
        <v>124</v>
      </c>
      <c r="AS487" s="119" t="s">
        <v>121</v>
      </c>
      <c r="AT487" s="8"/>
      <c r="AU487" s="8">
        <f t="shared" si="51"/>
        <v>16</v>
      </c>
      <c r="AV487" s="8">
        <f t="shared" si="52"/>
        <v>64</v>
      </c>
      <c r="AW487" s="8">
        <f t="shared" si="53"/>
        <v>2</v>
      </c>
      <c r="AX487" s="8">
        <f t="shared" si="54"/>
        <v>8</v>
      </c>
      <c r="AY487" s="8">
        <f t="shared" si="55"/>
        <v>1</v>
      </c>
      <c r="AZ487" s="8">
        <f t="shared" si="56"/>
        <v>32</v>
      </c>
      <c r="BA487" s="8">
        <f t="shared" si="57"/>
        <v>2048</v>
      </c>
      <c r="BB487" s="8">
        <f t="shared" si="58"/>
        <v>256</v>
      </c>
      <c r="BC487" s="8">
        <f t="shared" si="59"/>
        <v>2427</v>
      </c>
      <c r="BD487" s="8"/>
      <c r="BE487" s="8"/>
      <c r="BF487" s="8"/>
      <c r="BG487" s="8"/>
      <c r="BH487" s="8"/>
    </row>
    <row r="488" spans="2:60">
      <c r="B488" s="11"/>
      <c r="C488" s="12"/>
      <c r="D488" s="8"/>
      <c r="E488" s="13"/>
      <c r="F488" s="14"/>
      <c r="G488" s="13"/>
      <c r="H488" s="1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2">
        <v>1403</v>
      </c>
      <c r="AK488" s="118">
        <v>364</v>
      </c>
      <c r="AL488" s="119" t="s">
        <v>117</v>
      </c>
      <c r="AM488" s="119" t="s">
        <v>119</v>
      </c>
      <c r="AN488" s="119" t="s">
        <v>114</v>
      </c>
      <c r="AO488" s="119" t="s">
        <v>116</v>
      </c>
      <c r="AP488" s="119" t="s">
        <v>113</v>
      </c>
      <c r="AQ488" s="119" t="s">
        <v>118</v>
      </c>
      <c r="AR488" s="119" t="s">
        <v>121</v>
      </c>
      <c r="AS488" s="119" t="s">
        <v>123</v>
      </c>
      <c r="AT488" s="8"/>
      <c r="AU488" s="8">
        <f t="shared" si="51"/>
        <v>16</v>
      </c>
      <c r="AV488" s="8">
        <f t="shared" si="52"/>
        <v>64</v>
      </c>
      <c r="AW488" s="8">
        <f t="shared" si="53"/>
        <v>2</v>
      </c>
      <c r="AX488" s="8">
        <f t="shared" si="54"/>
        <v>8</v>
      </c>
      <c r="AY488" s="8">
        <f t="shared" si="55"/>
        <v>1</v>
      </c>
      <c r="AZ488" s="8">
        <f t="shared" si="56"/>
        <v>32</v>
      </c>
      <c r="BA488" s="8">
        <f t="shared" si="57"/>
        <v>256</v>
      </c>
      <c r="BB488" s="8">
        <f t="shared" si="58"/>
        <v>1024</v>
      </c>
      <c r="BC488" s="8">
        <f t="shared" si="59"/>
        <v>1403</v>
      </c>
      <c r="BD488" s="8"/>
      <c r="BE488" s="8"/>
      <c r="BF488" s="8"/>
      <c r="BG488" s="8"/>
      <c r="BH488" s="8"/>
    </row>
    <row r="489" spans="2:60">
      <c r="B489" s="11"/>
      <c r="C489" s="12"/>
      <c r="D489" s="8"/>
      <c r="E489" s="13"/>
      <c r="F489" s="14"/>
      <c r="G489" s="13"/>
      <c r="H489" s="15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2">
        <v>891</v>
      </c>
      <c r="AK489" s="118">
        <v>365</v>
      </c>
      <c r="AL489" s="119" t="s">
        <v>117</v>
      </c>
      <c r="AM489" s="119" t="s">
        <v>119</v>
      </c>
      <c r="AN489" s="119" t="s">
        <v>114</v>
      </c>
      <c r="AO489" s="119" t="s">
        <v>116</v>
      </c>
      <c r="AP489" s="119" t="s">
        <v>113</v>
      </c>
      <c r="AQ489" s="119" t="s">
        <v>118</v>
      </c>
      <c r="AR489" s="119" t="s">
        <v>121</v>
      </c>
      <c r="AS489" s="119" t="s">
        <v>122</v>
      </c>
      <c r="AT489" s="8"/>
      <c r="AU489" s="8">
        <f t="shared" si="51"/>
        <v>16</v>
      </c>
      <c r="AV489" s="8">
        <f t="shared" si="52"/>
        <v>64</v>
      </c>
      <c r="AW489" s="8">
        <f t="shared" si="53"/>
        <v>2</v>
      </c>
      <c r="AX489" s="8">
        <f t="shared" si="54"/>
        <v>8</v>
      </c>
      <c r="AY489" s="8">
        <f t="shared" si="55"/>
        <v>1</v>
      </c>
      <c r="AZ489" s="8">
        <f t="shared" si="56"/>
        <v>32</v>
      </c>
      <c r="BA489" s="8">
        <f t="shared" si="57"/>
        <v>256</v>
      </c>
      <c r="BB489" s="8">
        <f t="shared" si="58"/>
        <v>512</v>
      </c>
      <c r="BC489" s="8">
        <f t="shared" si="59"/>
        <v>891</v>
      </c>
      <c r="BD489" s="8"/>
      <c r="BE489" s="8"/>
      <c r="BF489" s="8"/>
      <c r="BG489" s="8"/>
      <c r="BH489" s="8"/>
    </row>
    <row r="490" spans="2:60">
      <c r="B490" s="11"/>
      <c r="C490" s="12"/>
      <c r="D490" s="8"/>
      <c r="E490" s="13"/>
      <c r="F490" s="14"/>
      <c r="G490" s="13"/>
      <c r="H490" s="15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2">
        <v>2299</v>
      </c>
      <c r="AK490" s="118">
        <v>366</v>
      </c>
      <c r="AL490" s="119" t="s">
        <v>120</v>
      </c>
      <c r="AM490" s="119" t="s">
        <v>119</v>
      </c>
      <c r="AN490" s="119" t="s">
        <v>114</v>
      </c>
      <c r="AO490" s="119" t="s">
        <v>116</v>
      </c>
      <c r="AP490" s="119" t="s">
        <v>113</v>
      </c>
      <c r="AQ490" s="119" t="s">
        <v>118</v>
      </c>
      <c r="AR490" s="119" t="s">
        <v>124</v>
      </c>
      <c r="AS490" s="119" t="s">
        <v>117</v>
      </c>
      <c r="AT490" s="8"/>
      <c r="AU490" s="8">
        <f t="shared" si="51"/>
        <v>128</v>
      </c>
      <c r="AV490" s="8">
        <f t="shared" si="52"/>
        <v>64</v>
      </c>
      <c r="AW490" s="8">
        <f t="shared" si="53"/>
        <v>2</v>
      </c>
      <c r="AX490" s="8">
        <f t="shared" si="54"/>
        <v>8</v>
      </c>
      <c r="AY490" s="8">
        <f t="shared" si="55"/>
        <v>1</v>
      </c>
      <c r="AZ490" s="8">
        <f t="shared" si="56"/>
        <v>32</v>
      </c>
      <c r="BA490" s="8">
        <f t="shared" si="57"/>
        <v>2048</v>
      </c>
      <c r="BB490" s="8">
        <f t="shared" si="58"/>
        <v>16</v>
      </c>
      <c r="BC490" s="8">
        <f t="shared" si="59"/>
        <v>2299</v>
      </c>
      <c r="BD490" s="8"/>
      <c r="BE490" s="8"/>
      <c r="BF490" s="8"/>
      <c r="BG490" s="8"/>
      <c r="BH490" s="8"/>
    </row>
    <row r="491" spans="2:60">
      <c r="B491" s="11"/>
      <c r="C491" s="12"/>
      <c r="D491" s="8"/>
      <c r="E491" s="13"/>
      <c r="F491" s="14"/>
      <c r="G491" s="13"/>
      <c r="H491" s="15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2">
        <v>1275</v>
      </c>
      <c r="AK491" s="118">
        <v>367</v>
      </c>
      <c r="AL491" s="119" t="s">
        <v>120</v>
      </c>
      <c r="AM491" s="119" t="s">
        <v>119</v>
      </c>
      <c r="AN491" s="119" t="s">
        <v>114</v>
      </c>
      <c r="AO491" s="119" t="s">
        <v>116</v>
      </c>
      <c r="AP491" s="119" t="s">
        <v>113</v>
      </c>
      <c r="AQ491" s="119" t="s">
        <v>118</v>
      </c>
      <c r="AR491" s="119" t="s">
        <v>117</v>
      </c>
      <c r="AS491" s="119" t="s">
        <v>123</v>
      </c>
      <c r="AT491" s="8"/>
      <c r="AU491" s="8">
        <f t="shared" si="51"/>
        <v>128</v>
      </c>
      <c r="AV491" s="8">
        <f t="shared" si="52"/>
        <v>64</v>
      </c>
      <c r="AW491" s="8">
        <f t="shared" si="53"/>
        <v>2</v>
      </c>
      <c r="AX491" s="8">
        <f t="shared" si="54"/>
        <v>8</v>
      </c>
      <c r="AY491" s="8">
        <f t="shared" si="55"/>
        <v>1</v>
      </c>
      <c r="AZ491" s="8">
        <f t="shared" si="56"/>
        <v>32</v>
      </c>
      <c r="BA491" s="8">
        <f t="shared" si="57"/>
        <v>16</v>
      </c>
      <c r="BB491" s="8">
        <f t="shared" si="58"/>
        <v>1024</v>
      </c>
      <c r="BC491" s="8">
        <f t="shared" si="59"/>
        <v>1275</v>
      </c>
      <c r="BD491" s="8"/>
      <c r="BE491" s="8"/>
      <c r="BF491" s="8"/>
      <c r="BG491" s="8"/>
      <c r="BH491" s="8"/>
    </row>
    <row r="492" spans="2:60">
      <c r="B492" s="11"/>
      <c r="C492" s="12"/>
      <c r="D492" s="8"/>
      <c r="E492" s="13"/>
      <c r="F492" s="14"/>
      <c r="G492" s="13"/>
      <c r="H492" s="15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2">
        <v>763</v>
      </c>
      <c r="AK492" s="118">
        <v>368</v>
      </c>
      <c r="AL492" s="119" t="s">
        <v>120</v>
      </c>
      <c r="AM492" s="119" t="s">
        <v>119</v>
      </c>
      <c r="AN492" s="119" t="s">
        <v>114</v>
      </c>
      <c r="AO492" s="119" t="s">
        <v>116</v>
      </c>
      <c r="AP492" s="119" t="s">
        <v>113</v>
      </c>
      <c r="AQ492" s="119" t="s">
        <v>118</v>
      </c>
      <c r="AR492" s="119" t="s">
        <v>117</v>
      </c>
      <c r="AS492" s="119" t="s">
        <v>122</v>
      </c>
      <c r="AT492" s="8"/>
      <c r="AU492" s="8">
        <f t="shared" si="51"/>
        <v>128</v>
      </c>
      <c r="AV492" s="8">
        <f t="shared" si="52"/>
        <v>64</v>
      </c>
      <c r="AW492" s="8">
        <f t="shared" si="53"/>
        <v>2</v>
      </c>
      <c r="AX492" s="8">
        <f t="shared" si="54"/>
        <v>8</v>
      </c>
      <c r="AY492" s="8">
        <f t="shared" si="55"/>
        <v>1</v>
      </c>
      <c r="AZ492" s="8">
        <f t="shared" si="56"/>
        <v>32</v>
      </c>
      <c r="BA492" s="8">
        <f t="shared" si="57"/>
        <v>16</v>
      </c>
      <c r="BB492" s="8">
        <f t="shared" si="58"/>
        <v>512</v>
      </c>
      <c r="BC492" s="8">
        <f t="shared" si="59"/>
        <v>763</v>
      </c>
      <c r="BD492" s="8"/>
      <c r="BE492" s="8"/>
      <c r="BF492" s="8"/>
      <c r="BG492" s="8"/>
      <c r="BH492" s="8"/>
    </row>
    <row r="493" spans="2:60">
      <c r="B493" s="11"/>
      <c r="C493" s="12"/>
      <c r="D493" s="8"/>
      <c r="E493" s="13"/>
      <c r="F493" s="14"/>
      <c r="G493" s="13"/>
      <c r="H493" s="15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2">
        <v>507</v>
      </c>
      <c r="AK493" s="118">
        <v>369</v>
      </c>
      <c r="AL493" s="119" t="s">
        <v>120</v>
      </c>
      <c r="AM493" s="119" t="s">
        <v>119</v>
      </c>
      <c r="AN493" s="119" t="s">
        <v>114</v>
      </c>
      <c r="AO493" s="119" t="s">
        <v>116</v>
      </c>
      <c r="AP493" s="119" t="s">
        <v>113</v>
      </c>
      <c r="AQ493" s="119" t="s">
        <v>118</v>
      </c>
      <c r="AR493" s="119" t="s">
        <v>117</v>
      </c>
      <c r="AS493" s="119" t="s">
        <v>121</v>
      </c>
      <c r="AT493" s="8"/>
      <c r="AU493" s="8">
        <f t="shared" si="51"/>
        <v>128</v>
      </c>
      <c r="AV493" s="8">
        <f t="shared" si="52"/>
        <v>64</v>
      </c>
      <c r="AW493" s="8">
        <f t="shared" si="53"/>
        <v>2</v>
      </c>
      <c r="AX493" s="8">
        <f t="shared" si="54"/>
        <v>8</v>
      </c>
      <c r="AY493" s="8">
        <f t="shared" si="55"/>
        <v>1</v>
      </c>
      <c r="AZ493" s="8">
        <f t="shared" si="56"/>
        <v>32</v>
      </c>
      <c r="BA493" s="8">
        <f t="shared" si="57"/>
        <v>16</v>
      </c>
      <c r="BB493" s="8">
        <f t="shared" si="58"/>
        <v>256</v>
      </c>
      <c r="BC493" s="8">
        <f t="shared" si="59"/>
        <v>507</v>
      </c>
      <c r="BD493" s="8"/>
      <c r="BE493" s="8"/>
      <c r="BF493" s="8"/>
      <c r="BG493" s="8"/>
      <c r="BH493" s="8"/>
    </row>
    <row r="494" spans="2:60">
      <c r="B494" s="11"/>
      <c r="C494" s="12"/>
      <c r="D494" s="8"/>
      <c r="E494" s="13"/>
      <c r="F494" s="14"/>
      <c r="G494" s="13"/>
      <c r="H494" s="15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2">
        <v>3975</v>
      </c>
      <c r="AK494" s="118">
        <v>370</v>
      </c>
      <c r="AL494" s="119" t="s">
        <v>121</v>
      </c>
      <c r="AM494" s="119" t="s">
        <v>122</v>
      </c>
      <c r="AN494" s="119" t="s">
        <v>114</v>
      </c>
      <c r="AO494" s="119" t="s">
        <v>115</v>
      </c>
      <c r="AP494" s="119" t="s">
        <v>113</v>
      </c>
      <c r="AQ494" s="119" t="s">
        <v>120</v>
      </c>
      <c r="AR494" s="119" t="s">
        <v>124</v>
      </c>
      <c r="AS494" s="119" t="s">
        <v>123</v>
      </c>
      <c r="AT494" s="8"/>
      <c r="AU494" s="8">
        <f t="shared" si="51"/>
        <v>256</v>
      </c>
      <c r="AV494" s="8">
        <f t="shared" si="52"/>
        <v>512</v>
      </c>
      <c r="AW494" s="8">
        <f t="shared" si="53"/>
        <v>2</v>
      </c>
      <c r="AX494" s="8">
        <f t="shared" si="54"/>
        <v>4</v>
      </c>
      <c r="AY494" s="8">
        <f t="shared" si="55"/>
        <v>1</v>
      </c>
      <c r="AZ494" s="8">
        <f t="shared" si="56"/>
        <v>128</v>
      </c>
      <c r="BA494" s="8">
        <f t="shared" si="57"/>
        <v>2048</v>
      </c>
      <c r="BB494" s="8">
        <f t="shared" si="58"/>
        <v>1024</v>
      </c>
      <c r="BC494" s="8">
        <f t="shared" si="59"/>
        <v>3975</v>
      </c>
      <c r="BD494" s="8"/>
      <c r="BE494" s="8"/>
      <c r="BF494" s="8"/>
      <c r="BG494" s="8"/>
      <c r="BH494" s="8"/>
    </row>
    <row r="495" spans="2:60">
      <c r="B495" s="11"/>
      <c r="C495" s="12"/>
      <c r="D495" s="8"/>
      <c r="E495" s="13"/>
      <c r="F495" s="14"/>
      <c r="G495" s="13"/>
      <c r="H495" s="15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2">
        <v>3911</v>
      </c>
      <c r="AK495" s="118">
        <v>371</v>
      </c>
      <c r="AL495" s="119" t="s">
        <v>121</v>
      </c>
      <c r="AM495" s="119" t="s">
        <v>122</v>
      </c>
      <c r="AN495" s="119" t="s">
        <v>114</v>
      </c>
      <c r="AO495" s="119" t="s">
        <v>115</v>
      </c>
      <c r="AP495" s="119" t="s">
        <v>113</v>
      </c>
      <c r="AQ495" s="119" t="s">
        <v>119</v>
      </c>
      <c r="AR495" s="119" t="s">
        <v>124</v>
      </c>
      <c r="AS495" s="119" t="s">
        <v>123</v>
      </c>
      <c r="AT495" s="8"/>
      <c r="AU495" s="8">
        <f t="shared" si="51"/>
        <v>256</v>
      </c>
      <c r="AV495" s="8">
        <f t="shared" si="52"/>
        <v>512</v>
      </c>
      <c r="AW495" s="8">
        <f t="shared" si="53"/>
        <v>2</v>
      </c>
      <c r="AX495" s="8">
        <f t="shared" si="54"/>
        <v>4</v>
      </c>
      <c r="AY495" s="8">
        <f t="shared" si="55"/>
        <v>1</v>
      </c>
      <c r="AZ495" s="8">
        <f t="shared" si="56"/>
        <v>64</v>
      </c>
      <c r="BA495" s="8">
        <f t="shared" si="57"/>
        <v>2048</v>
      </c>
      <c r="BB495" s="8">
        <f t="shared" si="58"/>
        <v>1024</v>
      </c>
      <c r="BC495" s="8">
        <f t="shared" si="59"/>
        <v>3911</v>
      </c>
      <c r="BD495" s="8"/>
      <c r="BE495" s="8"/>
      <c r="BF495" s="8"/>
      <c r="BG495" s="8"/>
      <c r="BH495" s="8"/>
    </row>
    <row r="496" spans="2:60">
      <c r="B496" s="11"/>
      <c r="C496" s="12"/>
      <c r="D496" s="8"/>
      <c r="E496" s="13"/>
      <c r="F496" s="14"/>
      <c r="G496" s="13"/>
      <c r="H496" s="15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2">
        <v>3783</v>
      </c>
      <c r="AK496" s="118">
        <v>372</v>
      </c>
      <c r="AL496" s="119" t="s">
        <v>120</v>
      </c>
      <c r="AM496" s="119" t="s">
        <v>122</v>
      </c>
      <c r="AN496" s="119" t="s">
        <v>114</v>
      </c>
      <c r="AO496" s="119" t="s">
        <v>115</v>
      </c>
      <c r="AP496" s="119" t="s">
        <v>113</v>
      </c>
      <c r="AQ496" s="119" t="s">
        <v>119</v>
      </c>
      <c r="AR496" s="119" t="s">
        <v>124</v>
      </c>
      <c r="AS496" s="119" t="s">
        <v>123</v>
      </c>
      <c r="AT496" s="8"/>
      <c r="AU496" s="8">
        <f t="shared" si="51"/>
        <v>128</v>
      </c>
      <c r="AV496" s="8">
        <f t="shared" si="52"/>
        <v>512</v>
      </c>
      <c r="AW496" s="8">
        <f t="shared" si="53"/>
        <v>2</v>
      </c>
      <c r="AX496" s="8">
        <f t="shared" si="54"/>
        <v>4</v>
      </c>
      <c r="AY496" s="8">
        <f t="shared" si="55"/>
        <v>1</v>
      </c>
      <c r="AZ496" s="8">
        <f t="shared" si="56"/>
        <v>64</v>
      </c>
      <c r="BA496" s="8">
        <f t="shared" si="57"/>
        <v>2048</v>
      </c>
      <c r="BB496" s="8">
        <f t="shared" si="58"/>
        <v>1024</v>
      </c>
      <c r="BC496" s="8">
        <f t="shared" si="59"/>
        <v>3783</v>
      </c>
      <c r="BD496" s="8"/>
      <c r="BE496" s="8"/>
      <c r="BF496" s="8"/>
      <c r="BG496" s="8"/>
      <c r="BH496" s="8"/>
    </row>
    <row r="497" spans="2:60">
      <c r="B497" s="11"/>
      <c r="C497" s="12"/>
      <c r="D497" s="8"/>
      <c r="E497" s="13"/>
      <c r="F497" s="14"/>
      <c r="G497" s="13"/>
      <c r="H497" s="15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2">
        <v>3527</v>
      </c>
      <c r="AK497" s="118">
        <v>373</v>
      </c>
      <c r="AL497" s="119" t="s">
        <v>121</v>
      </c>
      <c r="AM497" s="119" t="s">
        <v>119</v>
      </c>
      <c r="AN497" s="119" t="s">
        <v>114</v>
      </c>
      <c r="AO497" s="119" t="s">
        <v>115</v>
      </c>
      <c r="AP497" s="119" t="s">
        <v>113</v>
      </c>
      <c r="AQ497" s="119" t="s">
        <v>120</v>
      </c>
      <c r="AR497" s="119" t="s">
        <v>124</v>
      </c>
      <c r="AS497" s="119" t="s">
        <v>123</v>
      </c>
      <c r="AT497" s="8"/>
      <c r="AU497" s="8">
        <f t="shared" si="51"/>
        <v>256</v>
      </c>
      <c r="AV497" s="8">
        <f t="shared" si="52"/>
        <v>64</v>
      </c>
      <c r="AW497" s="8">
        <f t="shared" si="53"/>
        <v>2</v>
      </c>
      <c r="AX497" s="8">
        <f t="shared" si="54"/>
        <v>4</v>
      </c>
      <c r="AY497" s="8">
        <f t="shared" si="55"/>
        <v>1</v>
      </c>
      <c r="AZ497" s="8">
        <f t="shared" si="56"/>
        <v>128</v>
      </c>
      <c r="BA497" s="8">
        <f t="shared" si="57"/>
        <v>2048</v>
      </c>
      <c r="BB497" s="8">
        <f t="shared" si="58"/>
        <v>1024</v>
      </c>
      <c r="BC497" s="8">
        <f t="shared" si="59"/>
        <v>3527</v>
      </c>
      <c r="BD497" s="8"/>
      <c r="BE497" s="8"/>
      <c r="BF497" s="8"/>
      <c r="BG497" s="8"/>
      <c r="BH497" s="8"/>
    </row>
    <row r="498" spans="2:60">
      <c r="B498" s="11"/>
      <c r="C498" s="12"/>
      <c r="D498" s="8"/>
      <c r="E498" s="13"/>
      <c r="F498" s="14"/>
      <c r="G498" s="13"/>
      <c r="H498" s="15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2">
        <v>3015</v>
      </c>
      <c r="AK498" s="118">
        <v>374</v>
      </c>
      <c r="AL498" s="119" t="s">
        <v>120</v>
      </c>
      <c r="AM498" s="119" t="s">
        <v>122</v>
      </c>
      <c r="AN498" s="119" t="s">
        <v>114</v>
      </c>
      <c r="AO498" s="119" t="s">
        <v>115</v>
      </c>
      <c r="AP498" s="119" t="s">
        <v>113</v>
      </c>
      <c r="AQ498" s="119" t="s">
        <v>119</v>
      </c>
      <c r="AR498" s="119" t="s">
        <v>124</v>
      </c>
      <c r="AS498" s="119" t="s">
        <v>121</v>
      </c>
      <c r="AT498" s="8"/>
      <c r="AU498" s="8">
        <f t="shared" si="51"/>
        <v>128</v>
      </c>
      <c r="AV498" s="8">
        <f t="shared" si="52"/>
        <v>512</v>
      </c>
      <c r="AW498" s="8">
        <f t="shared" si="53"/>
        <v>2</v>
      </c>
      <c r="AX498" s="8">
        <f t="shared" si="54"/>
        <v>4</v>
      </c>
      <c r="AY498" s="8">
        <f t="shared" si="55"/>
        <v>1</v>
      </c>
      <c r="AZ498" s="8">
        <f t="shared" si="56"/>
        <v>64</v>
      </c>
      <c r="BA498" s="8">
        <f t="shared" si="57"/>
        <v>2048</v>
      </c>
      <c r="BB498" s="8">
        <f t="shared" si="58"/>
        <v>256</v>
      </c>
      <c r="BC498" s="8">
        <f t="shared" si="59"/>
        <v>3015</v>
      </c>
      <c r="BD498" s="8"/>
      <c r="BE498" s="8"/>
      <c r="BF498" s="8"/>
      <c r="BG498" s="8"/>
      <c r="BH498" s="8"/>
    </row>
    <row r="499" spans="2:60">
      <c r="B499" s="11"/>
      <c r="C499" s="12"/>
      <c r="D499" s="8"/>
      <c r="E499" s="13"/>
      <c r="F499" s="14"/>
      <c r="G499" s="13"/>
      <c r="H499" s="15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2">
        <v>1991</v>
      </c>
      <c r="AK499" s="118">
        <v>375</v>
      </c>
      <c r="AL499" s="119" t="s">
        <v>120</v>
      </c>
      <c r="AM499" s="119" t="s">
        <v>122</v>
      </c>
      <c r="AN499" s="119" t="s">
        <v>114</v>
      </c>
      <c r="AO499" s="119" t="s">
        <v>115</v>
      </c>
      <c r="AP499" s="119" t="s">
        <v>113</v>
      </c>
      <c r="AQ499" s="119" t="s">
        <v>119</v>
      </c>
      <c r="AR499" s="119" t="s">
        <v>121</v>
      </c>
      <c r="AS499" s="119" t="s">
        <v>123</v>
      </c>
      <c r="AT499" s="8"/>
      <c r="AU499" s="8">
        <f t="shared" si="51"/>
        <v>128</v>
      </c>
      <c r="AV499" s="8">
        <f t="shared" si="52"/>
        <v>512</v>
      </c>
      <c r="AW499" s="8">
        <f t="shared" si="53"/>
        <v>2</v>
      </c>
      <c r="AX499" s="8">
        <f t="shared" si="54"/>
        <v>4</v>
      </c>
      <c r="AY499" s="8">
        <f t="shared" si="55"/>
        <v>1</v>
      </c>
      <c r="AZ499" s="8">
        <f t="shared" si="56"/>
        <v>64</v>
      </c>
      <c r="BA499" s="8">
        <f t="shared" si="57"/>
        <v>256</v>
      </c>
      <c r="BB499" s="8">
        <f t="shared" si="58"/>
        <v>1024</v>
      </c>
      <c r="BC499" s="8">
        <f t="shared" si="59"/>
        <v>1991</v>
      </c>
      <c r="BD499" s="8"/>
      <c r="BE499" s="8"/>
      <c r="BF499" s="8"/>
      <c r="BG499" s="8"/>
      <c r="BH499" s="8"/>
    </row>
    <row r="500" spans="2:60">
      <c r="B500" s="11"/>
      <c r="C500" s="12"/>
      <c r="D500" s="8"/>
      <c r="E500" s="13"/>
      <c r="F500" s="14"/>
      <c r="G500" s="13"/>
      <c r="H500" s="15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2">
        <v>3879</v>
      </c>
      <c r="AK500" s="118">
        <v>376</v>
      </c>
      <c r="AL500" s="119" t="s">
        <v>121</v>
      </c>
      <c r="AM500" s="119" t="s">
        <v>122</v>
      </c>
      <c r="AN500" s="119" t="s">
        <v>114</v>
      </c>
      <c r="AO500" s="119" t="s">
        <v>115</v>
      </c>
      <c r="AP500" s="119" t="s">
        <v>113</v>
      </c>
      <c r="AQ500" s="119" t="s">
        <v>118</v>
      </c>
      <c r="AR500" s="119" t="s">
        <v>124</v>
      </c>
      <c r="AS500" s="119" t="s">
        <v>123</v>
      </c>
      <c r="AT500" s="8"/>
      <c r="AU500" s="8">
        <f t="shared" si="51"/>
        <v>256</v>
      </c>
      <c r="AV500" s="8">
        <f t="shared" si="52"/>
        <v>512</v>
      </c>
      <c r="AW500" s="8">
        <f t="shared" si="53"/>
        <v>2</v>
      </c>
      <c r="AX500" s="8">
        <f t="shared" si="54"/>
        <v>4</v>
      </c>
      <c r="AY500" s="8">
        <f t="shared" si="55"/>
        <v>1</v>
      </c>
      <c r="AZ500" s="8">
        <f t="shared" si="56"/>
        <v>32</v>
      </c>
      <c r="BA500" s="8">
        <f t="shared" si="57"/>
        <v>2048</v>
      </c>
      <c r="BB500" s="8">
        <f t="shared" si="58"/>
        <v>1024</v>
      </c>
      <c r="BC500" s="8">
        <f t="shared" si="59"/>
        <v>3879</v>
      </c>
      <c r="BD500" s="8"/>
      <c r="BE500" s="8"/>
      <c r="BF500" s="8"/>
      <c r="BG500" s="8"/>
      <c r="BH500" s="8"/>
    </row>
    <row r="501" spans="2:60">
      <c r="B501" s="11"/>
      <c r="C501" s="12"/>
      <c r="D501" s="8"/>
      <c r="E501" s="13"/>
      <c r="F501" s="14"/>
      <c r="G501" s="13"/>
      <c r="H501" s="15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2">
        <v>3751</v>
      </c>
      <c r="AK501" s="118">
        <v>377</v>
      </c>
      <c r="AL501" s="119" t="s">
        <v>120</v>
      </c>
      <c r="AM501" s="119" t="s">
        <v>122</v>
      </c>
      <c r="AN501" s="119" t="s">
        <v>114</v>
      </c>
      <c r="AO501" s="119" t="s">
        <v>115</v>
      </c>
      <c r="AP501" s="119" t="s">
        <v>113</v>
      </c>
      <c r="AQ501" s="119" t="s">
        <v>118</v>
      </c>
      <c r="AR501" s="119" t="s">
        <v>124</v>
      </c>
      <c r="AS501" s="119" t="s">
        <v>123</v>
      </c>
      <c r="AT501" s="8"/>
      <c r="AU501" s="8">
        <f t="shared" si="51"/>
        <v>128</v>
      </c>
      <c r="AV501" s="8">
        <f t="shared" si="52"/>
        <v>512</v>
      </c>
      <c r="AW501" s="8">
        <f t="shared" si="53"/>
        <v>2</v>
      </c>
      <c r="AX501" s="8">
        <f t="shared" si="54"/>
        <v>4</v>
      </c>
      <c r="AY501" s="8">
        <f t="shared" si="55"/>
        <v>1</v>
      </c>
      <c r="AZ501" s="8">
        <f t="shared" si="56"/>
        <v>32</v>
      </c>
      <c r="BA501" s="8">
        <f t="shared" si="57"/>
        <v>2048</v>
      </c>
      <c r="BB501" s="8">
        <f t="shared" si="58"/>
        <v>1024</v>
      </c>
      <c r="BC501" s="8">
        <f t="shared" si="59"/>
        <v>3751</v>
      </c>
      <c r="BD501" s="8"/>
      <c r="BE501" s="8"/>
      <c r="BF501" s="8"/>
      <c r="BG501" s="8"/>
      <c r="BH501" s="8"/>
    </row>
    <row r="502" spans="2:60">
      <c r="B502" s="11"/>
      <c r="C502" s="12"/>
      <c r="D502" s="8"/>
      <c r="E502" s="13"/>
      <c r="F502" s="14"/>
      <c r="G502" s="13"/>
      <c r="H502" s="15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2">
        <v>3495</v>
      </c>
      <c r="AK502" s="118">
        <v>378</v>
      </c>
      <c r="AL502" s="119" t="s">
        <v>120</v>
      </c>
      <c r="AM502" s="119" t="s">
        <v>121</v>
      </c>
      <c r="AN502" s="119" t="s">
        <v>114</v>
      </c>
      <c r="AO502" s="119" t="s">
        <v>115</v>
      </c>
      <c r="AP502" s="119" t="s">
        <v>113</v>
      </c>
      <c r="AQ502" s="119" t="s">
        <v>118</v>
      </c>
      <c r="AR502" s="119" t="s">
        <v>124</v>
      </c>
      <c r="AS502" s="119" t="s">
        <v>123</v>
      </c>
      <c r="AT502" s="8"/>
      <c r="AU502" s="8">
        <f t="shared" si="51"/>
        <v>128</v>
      </c>
      <c r="AV502" s="8">
        <f t="shared" si="52"/>
        <v>256</v>
      </c>
      <c r="AW502" s="8">
        <f t="shared" si="53"/>
        <v>2</v>
      </c>
      <c r="AX502" s="8">
        <f t="shared" si="54"/>
        <v>4</v>
      </c>
      <c r="AY502" s="8">
        <f t="shared" si="55"/>
        <v>1</v>
      </c>
      <c r="AZ502" s="8">
        <f t="shared" si="56"/>
        <v>32</v>
      </c>
      <c r="BA502" s="8">
        <f t="shared" si="57"/>
        <v>2048</v>
      </c>
      <c r="BB502" s="8">
        <f t="shared" si="58"/>
        <v>1024</v>
      </c>
      <c r="BC502" s="8">
        <f t="shared" si="59"/>
        <v>3495</v>
      </c>
      <c r="BD502" s="8"/>
      <c r="BE502" s="8"/>
      <c r="BF502" s="8"/>
      <c r="BG502" s="8"/>
      <c r="BH502" s="8"/>
    </row>
    <row r="503" spans="2:60">
      <c r="B503" s="11"/>
      <c r="C503" s="12"/>
      <c r="D503" s="8"/>
      <c r="E503" s="13"/>
      <c r="F503" s="14"/>
      <c r="G503" s="13"/>
      <c r="H503" s="15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2">
        <v>2983</v>
      </c>
      <c r="AK503" s="118">
        <v>379</v>
      </c>
      <c r="AL503" s="119" t="s">
        <v>120</v>
      </c>
      <c r="AM503" s="119" t="s">
        <v>122</v>
      </c>
      <c r="AN503" s="119" t="s">
        <v>114</v>
      </c>
      <c r="AO503" s="119" t="s">
        <v>115</v>
      </c>
      <c r="AP503" s="119" t="s">
        <v>113</v>
      </c>
      <c r="AQ503" s="119" t="s">
        <v>118</v>
      </c>
      <c r="AR503" s="119" t="s">
        <v>124</v>
      </c>
      <c r="AS503" s="119" t="s">
        <v>121</v>
      </c>
      <c r="AT503" s="8"/>
      <c r="AU503" s="8">
        <f t="shared" si="51"/>
        <v>128</v>
      </c>
      <c r="AV503" s="8">
        <f t="shared" si="52"/>
        <v>512</v>
      </c>
      <c r="AW503" s="8">
        <f t="shared" si="53"/>
        <v>2</v>
      </c>
      <c r="AX503" s="8">
        <f t="shared" si="54"/>
        <v>4</v>
      </c>
      <c r="AY503" s="8">
        <f t="shared" si="55"/>
        <v>1</v>
      </c>
      <c r="AZ503" s="8">
        <f t="shared" si="56"/>
        <v>32</v>
      </c>
      <c r="BA503" s="8">
        <f t="shared" si="57"/>
        <v>2048</v>
      </c>
      <c r="BB503" s="8">
        <f t="shared" si="58"/>
        <v>256</v>
      </c>
      <c r="BC503" s="8">
        <f t="shared" si="59"/>
        <v>2983</v>
      </c>
      <c r="BD503" s="8"/>
      <c r="BE503" s="8"/>
      <c r="BF503" s="8"/>
      <c r="BG503" s="8"/>
      <c r="BH503" s="8"/>
    </row>
    <row r="504" spans="2:60">
      <c r="B504" s="11"/>
      <c r="C504" s="12"/>
      <c r="D504" s="8"/>
      <c r="E504" s="13"/>
      <c r="F504" s="14"/>
      <c r="G504" s="13"/>
      <c r="H504" s="15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2">
        <v>1959</v>
      </c>
      <c r="AK504" s="118">
        <v>380</v>
      </c>
      <c r="AL504" s="119" t="s">
        <v>120</v>
      </c>
      <c r="AM504" s="119" t="s">
        <v>122</v>
      </c>
      <c r="AN504" s="119" t="s">
        <v>114</v>
      </c>
      <c r="AO504" s="119" t="s">
        <v>115</v>
      </c>
      <c r="AP504" s="119" t="s">
        <v>113</v>
      </c>
      <c r="AQ504" s="119" t="s">
        <v>118</v>
      </c>
      <c r="AR504" s="119" t="s">
        <v>121</v>
      </c>
      <c r="AS504" s="119" t="s">
        <v>123</v>
      </c>
      <c r="AT504" s="8"/>
      <c r="AU504" s="8">
        <f t="shared" si="51"/>
        <v>128</v>
      </c>
      <c r="AV504" s="8">
        <f t="shared" si="52"/>
        <v>512</v>
      </c>
      <c r="AW504" s="8">
        <f t="shared" si="53"/>
        <v>2</v>
      </c>
      <c r="AX504" s="8">
        <f t="shared" si="54"/>
        <v>4</v>
      </c>
      <c r="AY504" s="8">
        <f t="shared" si="55"/>
        <v>1</v>
      </c>
      <c r="AZ504" s="8">
        <f t="shared" si="56"/>
        <v>32</v>
      </c>
      <c r="BA504" s="8">
        <f t="shared" si="57"/>
        <v>256</v>
      </c>
      <c r="BB504" s="8">
        <f t="shared" si="58"/>
        <v>1024</v>
      </c>
      <c r="BC504" s="8">
        <f t="shared" si="59"/>
        <v>1959</v>
      </c>
      <c r="BD504" s="8"/>
      <c r="BE504" s="8"/>
      <c r="BF504" s="8"/>
      <c r="BG504" s="8"/>
      <c r="BH504" s="8"/>
    </row>
    <row r="505" spans="2:60">
      <c r="B505" s="11"/>
      <c r="C505" s="12"/>
      <c r="D505" s="8"/>
      <c r="E505" s="13"/>
      <c r="F505" s="14"/>
      <c r="G505" s="13"/>
      <c r="H505" s="15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2">
        <v>3687</v>
      </c>
      <c r="AK505" s="118">
        <v>381</v>
      </c>
      <c r="AL505" s="119" t="s">
        <v>115</v>
      </c>
      <c r="AM505" s="119" t="s">
        <v>122</v>
      </c>
      <c r="AN505" s="119" t="s">
        <v>114</v>
      </c>
      <c r="AO505" s="119" t="s">
        <v>118</v>
      </c>
      <c r="AP505" s="119" t="s">
        <v>113</v>
      </c>
      <c r="AQ505" s="119" t="s">
        <v>119</v>
      </c>
      <c r="AR505" s="119" t="s">
        <v>124</v>
      </c>
      <c r="AS505" s="119" t="s">
        <v>123</v>
      </c>
      <c r="AT505" s="8"/>
      <c r="AU505" s="8">
        <f t="shared" si="51"/>
        <v>4</v>
      </c>
      <c r="AV505" s="8">
        <f t="shared" si="52"/>
        <v>512</v>
      </c>
      <c r="AW505" s="8">
        <f t="shared" si="53"/>
        <v>2</v>
      </c>
      <c r="AX505" s="8">
        <f t="shared" si="54"/>
        <v>32</v>
      </c>
      <c r="AY505" s="8">
        <f t="shared" si="55"/>
        <v>1</v>
      </c>
      <c r="AZ505" s="8">
        <f t="shared" si="56"/>
        <v>64</v>
      </c>
      <c r="BA505" s="8">
        <f t="shared" si="57"/>
        <v>2048</v>
      </c>
      <c r="BB505" s="8">
        <f t="shared" si="58"/>
        <v>1024</v>
      </c>
      <c r="BC505" s="8">
        <f t="shared" si="59"/>
        <v>3687</v>
      </c>
      <c r="BD505" s="8"/>
      <c r="BE505" s="8"/>
      <c r="BF505" s="8"/>
      <c r="BG505" s="8"/>
      <c r="BH505" s="8"/>
    </row>
    <row r="506" spans="2:60">
      <c r="B506" s="11"/>
      <c r="C506" s="12"/>
      <c r="D506" s="8"/>
      <c r="E506" s="13"/>
      <c r="F506" s="14"/>
      <c r="G506" s="13"/>
      <c r="H506" s="15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2">
        <v>3431</v>
      </c>
      <c r="AK506" s="118">
        <v>382</v>
      </c>
      <c r="AL506" s="119" t="s">
        <v>121</v>
      </c>
      <c r="AM506" s="119" t="s">
        <v>119</v>
      </c>
      <c r="AN506" s="119" t="s">
        <v>114</v>
      </c>
      <c r="AO506" s="119" t="s">
        <v>115</v>
      </c>
      <c r="AP506" s="119" t="s">
        <v>113</v>
      </c>
      <c r="AQ506" s="119" t="s">
        <v>118</v>
      </c>
      <c r="AR506" s="119" t="s">
        <v>124</v>
      </c>
      <c r="AS506" s="119" t="s">
        <v>123</v>
      </c>
      <c r="AT506" s="8"/>
      <c r="AU506" s="8">
        <f t="shared" si="51"/>
        <v>256</v>
      </c>
      <c r="AV506" s="8">
        <f t="shared" si="52"/>
        <v>64</v>
      </c>
      <c r="AW506" s="8">
        <f t="shared" si="53"/>
        <v>2</v>
      </c>
      <c r="AX506" s="8">
        <f t="shared" si="54"/>
        <v>4</v>
      </c>
      <c r="AY506" s="8">
        <f t="shared" si="55"/>
        <v>1</v>
      </c>
      <c r="AZ506" s="8">
        <f t="shared" si="56"/>
        <v>32</v>
      </c>
      <c r="BA506" s="8">
        <f t="shared" si="57"/>
        <v>2048</v>
      </c>
      <c r="BB506" s="8">
        <f t="shared" si="58"/>
        <v>1024</v>
      </c>
      <c r="BC506" s="8">
        <f t="shared" si="59"/>
        <v>3431</v>
      </c>
      <c r="BD506" s="8"/>
      <c r="BE506" s="8"/>
      <c r="BF506" s="8"/>
      <c r="BG506" s="8"/>
      <c r="BH506" s="8"/>
    </row>
    <row r="507" spans="2:60">
      <c r="B507" s="11"/>
      <c r="C507" s="12"/>
      <c r="D507" s="8"/>
      <c r="E507" s="13"/>
      <c r="F507" s="14"/>
      <c r="G507" s="13"/>
      <c r="H507" s="15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2">
        <v>2919</v>
      </c>
      <c r="AK507" s="118">
        <v>383</v>
      </c>
      <c r="AL507" s="119" t="s">
        <v>115</v>
      </c>
      <c r="AM507" s="119" t="s">
        <v>122</v>
      </c>
      <c r="AN507" s="119" t="s">
        <v>114</v>
      </c>
      <c r="AO507" s="119" t="s">
        <v>118</v>
      </c>
      <c r="AP507" s="119" t="s">
        <v>113</v>
      </c>
      <c r="AQ507" s="119" t="s">
        <v>119</v>
      </c>
      <c r="AR507" s="119" t="s">
        <v>124</v>
      </c>
      <c r="AS507" s="119" t="s">
        <v>121</v>
      </c>
      <c r="AT507" s="8"/>
      <c r="AU507" s="8">
        <f t="shared" si="51"/>
        <v>4</v>
      </c>
      <c r="AV507" s="8">
        <f t="shared" si="52"/>
        <v>512</v>
      </c>
      <c r="AW507" s="8">
        <f t="shared" si="53"/>
        <v>2</v>
      </c>
      <c r="AX507" s="8">
        <f t="shared" si="54"/>
        <v>32</v>
      </c>
      <c r="AY507" s="8">
        <f t="shared" si="55"/>
        <v>1</v>
      </c>
      <c r="AZ507" s="8">
        <f t="shared" si="56"/>
        <v>64</v>
      </c>
      <c r="BA507" s="8">
        <f t="shared" si="57"/>
        <v>2048</v>
      </c>
      <c r="BB507" s="8">
        <f t="shared" si="58"/>
        <v>256</v>
      </c>
      <c r="BC507" s="8">
        <f t="shared" si="59"/>
        <v>2919</v>
      </c>
      <c r="BD507" s="8"/>
      <c r="BE507" s="8"/>
      <c r="BF507" s="8"/>
      <c r="BG507" s="8"/>
      <c r="BH507" s="8"/>
    </row>
    <row r="508" spans="2:60">
      <c r="B508" s="11"/>
      <c r="C508" s="12"/>
      <c r="D508" s="8"/>
      <c r="E508" s="13"/>
      <c r="F508" s="14"/>
      <c r="G508" s="13"/>
      <c r="H508" s="15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2">
        <v>1895</v>
      </c>
      <c r="AK508" s="118">
        <v>384</v>
      </c>
      <c r="AL508" s="119" t="s">
        <v>115</v>
      </c>
      <c r="AM508" s="119" t="s">
        <v>122</v>
      </c>
      <c r="AN508" s="119" t="s">
        <v>114</v>
      </c>
      <c r="AO508" s="119" t="s">
        <v>118</v>
      </c>
      <c r="AP508" s="119" t="s">
        <v>113</v>
      </c>
      <c r="AQ508" s="119" t="s">
        <v>119</v>
      </c>
      <c r="AR508" s="119" t="s">
        <v>121</v>
      </c>
      <c r="AS508" s="119" t="s">
        <v>123</v>
      </c>
      <c r="AT508" s="8"/>
      <c r="AU508" s="8">
        <f t="shared" si="51"/>
        <v>4</v>
      </c>
      <c r="AV508" s="8">
        <f t="shared" si="52"/>
        <v>512</v>
      </c>
      <c r="AW508" s="8">
        <f t="shared" si="53"/>
        <v>2</v>
      </c>
      <c r="AX508" s="8">
        <f t="shared" si="54"/>
        <v>32</v>
      </c>
      <c r="AY508" s="8">
        <f t="shared" si="55"/>
        <v>1</v>
      </c>
      <c r="AZ508" s="8">
        <f t="shared" si="56"/>
        <v>64</v>
      </c>
      <c r="BA508" s="8">
        <f t="shared" si="57"/>
        <v>256</v>
      </c>
      <c r="BB508" s="8">
        <f t="shared" si="58"/>
        <v>1024</v>
      </c>
      <c r="BC508" s="8">
        <f t="shared" si="59"/>
        <v>1895</v>
      </c>
      <c r="BD508" s="8"/>
      <c r="BE508" s="8"/>
      <c r="BF508" s="8"/>
      <c r="BG508" s="8"/>
      <c r="BH508" s="8"/>
    </row>
    <row r="509" spans="2:60">
      <c r="B509" s="11"/>
      <c r="C509" s="12"/>
      <c r="D509" s="8"/>
      <c r="E509" s="13"/>
      <c r="F509" s="14"/>
      <c r="G509" s="13"/>
      <c r="H509" s="15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2">
        <v>3303</v>
      </c>
      <c r="AK509" s="118">
        <v>385</v>
      </c>
      <c r="AL509" s="119" t="s">
        <v>120</v>
      </c>
      <c r="AM509" s="119" t="s">
        <v>119</v>
      </c>
      <c r="AN509" s="119" t="s">
        <v>114</v>
      </c>
      <c r="AO509" s="119" t="s">
        <v>115</v>
      </c>
      <c r="AP509" s="119" t="s">
        <v>113</v>
      </c>
      <c r="AQ509" s="119" t="s">
        <v>118</v>
      </c>
      <c r="AR509" s="119" t="s">
        <v>124</v>
      </c>
      <c r="AS509" s="119" t="s">
        <v>123</v>
      </c>
      <c r="AT509" s="8"/>
      <c r="AU509" s="8">
        <f t="shared" ref="AU509:AU572" si="60">+VLOOKUP(AL509,$Q$105:$R$116,2)</f>
        <v>128</v>
      </c>
      <c r="AV509" s="8">
        <f t="shared" ref="AV509:AV572" si="61">+VLOOKUP(AM509,$Q$105:$R$116,2)</f>
        <v>64</v>
      </c>
      <c r="AW509" s="8">
        <f t="shared" ref="AW509:AW572" si="62">+VLOOKUP(AN509,$Q$105:$R$116,2)</f>
        <v>2</v>
      </c>
      <c r="AX509" s="8">
        <f t="shared" ref="AX509:AX572" si="63">+VLOOKUP(AO509,$Q$105:$R$116,2)</f>
        <v>4</v>
      </c>
      <c r="AY509" s="8">
        <f t="shared" ref="AY509:AY572" si="64">+VLOOKUP(AP509,$Q$105:$R$116,2)</f>
        <v>1</v>
      </c>
      <c r="AZ509" s="8">
        <f t="shared" ref="AZ509:AZ572" si="65">+VLOOKUP(AQ509,$Q$105:$R$116,2)</f>
        <v>32</v>
      </c>
      <c r="BA509" s="8">
        <f t="shared" ref="BA509:BA572" si="66">+VLOOKUP(AR509,$Q$105:$R$116,2)</f>
        <v>2048</v>
      </c>
      <c r="BB509" s="8">
        <f t="shared" ref="BB509:BB572" si="67">+VLOOKUP(AS509,$Q$105:$R$116,2)</f>
        <v>1024</v>
      </c>
      <c r="BC509" s="8">
        <f t="shared" ref="BC509:BC572" si="68">+SUM(AU509:BB509)</f>
        <v>3303</v>
      </c>
      <c r="BD509" s="8"/>
      <c r="BE509" s="8"/>
      <c r="BF509" s="8"/>
      <c r="BG509" s="8"/>
      <c r="BH509" s="8"/>
    </row>
    <row r="510" spans="2:60">
      <c r="B510" s="11"/>
      <c r="C510" s="12"/>
      <c r="D510" s="8"/>
      <c r="E510" s="13"/>
      <c r="F510" s="14"/>
      <c r="G510" s="13"/>
      <c r="H510" s="15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2">
        <v>2791</v>
      </c>
      <c r="AK510" s="118">
        <v>386</v>
      </c>
      <c r="AL510" s="119" t="s">
        <v>120</v>
      </c>
      <c r="AM510" s="119" t="s">
        <v>119</v>
      </c>
      <c r="AN510" s="119" t="s">
        <v>114</v>
      </c>
      <c r="AO510" s="119" t="s">
        <v>115</v>
      </c>
      <c r="AP510" s="119" t="s">
        <v>113</v>
      </c>
      <c r="AQ510" s="119" t="s">
        <v>118</v>
      </c>
      <c r="AR510" s="119" t="s">
        <v>124</v>
      </c>
      <c r="AS510" s="119" t="s">
        <v>122</v>
      </c>
      <c r="AT510" s="8"/>
      <c r="AU510" s="8">
        <f t="shared" si="60"/>
        <v>128</v>
      </c>
      <c r="AV510" s="8">
        <f t="shared" si="61"/>
        <v>64</v>
      </c>
      <c r="AW510" s="8">
        <f t="shared" si="62"/>
        <v>2</v>
      </c>
      <c r="AX510" s="8">
        <f t="shared" si="63"/>
        <v>4</v>
      </c>
      <c r="AY510" s="8">
        <f t="shared" si="64"/>
        <v>1</v>
      </c>
      <c r="AZ510" s="8">
        <f t="shared" si="65"/>
        <v>32</v>
      </c>
      <c r="BA510" s="8">
        <f t="shared" si="66"/>
        <v>2048</v>
      </c>
      <c r="BB510" s="8">
        <f t="shared" si="67"/>
        <v>512</v>
      </c>
      <c r="BC510" s="8">
        <f t="shared" si="68"/>
        <v>2791</v>
      </c>
      <c r="BD510" s="8"/>
      <c r="BE510" s="8"/>
      <c r="BF510" s="8"/>
      <c r="BG510" s="8"/>
      <c r="BH510" s="8"/>
    </row>
    <row r="511" spans="2:60">
      <c r="B511" s="11"/>
      <c r="C511" s="12"/>
      <c r="D511" s="8"/>
      <c r="E511" s="13"/>
      <c r="F511" s="14"/>
      <c r="G511" s="13"/>
      <c r="H511" s="15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2">
        <v>1767</v>
      </c>
      <c r="AK511" s="118">
        <v>387</v>
      </c>
      <c r="AL511" s="119" t="s">
        <v>120</v>
      </c>
      <c r="AM511" s="119" t="s">
        <v>119</v>
      </c>
      <c r="AN511" s="119" t="s">
        <v>114</v>
      </c>
      <c r="AO511" s="119" t="s">
        <v>115</v>
      </c>
      <c r="AP511" s="119" t="s">
        <v>113</v>
      </c>
      <c r="AQ511" s="119" t="s">
        <v>118</v>
      </c>
      <c r="AR511" s="119" t="s">
        <v>122</v>
      </c>
      <c r="AS511" s="119" t="s">
        <v>123</v>
      </c>
      <c r="AT511" s="8"/>
      <c r="AU511" s="8">
        <f t="shared" si="60"/>
        <v>128</v>
      </c>
      <c r="AV511" s="8">
        <f t="shared" si="61"/>
        <v>64</v>
      </c>
      <c r="AW511" s="8">
        <f t="shared" si="62"/>
        <v>2</v>
      </c>
      <c r="AX511" s="8">
        <f t="shared" si="63"/>
        <v>4</v>
      </c>
      <c r="AY511" s="8">
        <f t="shared" si="64"/>
        <v>1</v>
      </c>
      <c r="AZ511" s="8">
        <f t="shared" si="65"/>
        <v>32</v>
      </c>
      <c r="BA511" s="8">
        <f t="shared" si="66"/>
        <v>512</v>
      </c>
      <c r="BB511" s="8">
        <f t="shared" si="67"/>
        <v>1024</v>
      </c>
      <c r="BC511" s="8">
        <f t="shared" si="68"/>
        <v>1767</v>
      </c>
      <c r="BD511" s="8"/>
      <c r="BE511" s="8"/>
      <c r="BF511" s="8"/>
      <c r="BG511" s="8"/>
      <c r="BH511" s="8"/>
    </row>
    <row r="512" spans="2:60">
      <c r="B512" s="11"/>
      <c r="C512" s="12"/>
      <c r="D512" s="8"/>
      <c r="E512" s="13"/>
      <c r="F512" s="14"/>
      <c r="G512" s="13"/>
      <c r="H512" s="15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2">
        <v>2535</v>
      </c>
      <c r="AK512" s="118">
        <v>388</v>
      </c>
      <c r="AL512" s="119" t="s">
        <v>120</v>
      </c>
      <c r="AM512" s="119" t="s">
        <v>119</v>
      </c>
      <c r="AN512" s="119" t="s">
        <v>114</v>
      </c>
      <c r="AO512" s="119" t="s">
        <v>115</v>
      </c>
      <c r="AP512" s="119" t="s">
        <v>113</v>
      </c>
      <c r="AQ512" s="119" t="s">
        <v>118</v>
      </c>
      <c r="AR512" s="119" t="s">
        <v>124</v>
      </c>
      <c r="AS512" s="119" t="s">
        <v>121</v>
      </c>
      <c r="AT512" s="8"/>
      <c r="AU512" s="8">
        <f t="shared" si="60"/>
        <v>128</v>
      </c>
      <c r="AV512" s="8">
        <f t="shared" si="61"/>
        <v>64</v>
      </c>
      <c r="AW512" s="8">
        <f t="shared" si="62"/>
        <v>2</v>
      </c>
      <c r="AX512" s="8">
        <f t="shared" si="63"/>
        <v>4</v>
      </c>
      <c r="AY512" s="8">
        <f t="shared" si="64"/>
        <v>1</v>
      </c>
      <c r="AZ512" s="8">
        <f t="shared" si="65"/>
        <v>32</v>
      </c>
      <c r="BA512" s="8">
        <f t="shared" si="66"/>
        <v>2048</v>
      </c>
      <c r="BB512" s="8">
        <f t="shared" si="67"/>
        <v>256</v>
      </c>
      <c r="BC512" s="8">
        <f t="shared" si="68"/>
        <v>2535</v>
      </c>
      <c r="BD512" s="8"/>
      <c r="BE512" s="8"/>
      <c r="BF512" s="8"/>
      <c r="BG512" s="8"/>
      <c r="BH512" s="8"/>
    </row>
    <row r="513" spans="2:60">
      <c r="B513" s="11"/>
      <c r="C513" s="12"/>
      <c r="D513" s="8"/>
      <c r="E513" s="13"/>
      <c r="F513" s="14"/>
      <c r="G513" s="13"/>
      <c r="H513" s="15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2">
        <v>1511</v>
      </c>
      <c r="AK513" s="118">
        <v>389</v>
      </c>
      <c r="AL513" s="119" t="s">
        <v>120</v>
      </c>
      <c r="AM513" s="119" t="s">
        <v>119</v>
      </c>
      <c r="AN513" s="119" t="s">
        <v>114</v>
      </c>
      <c r="AO513" s="119" t="s">
        <v>115</v>
      </c>
      <c r="AP513" s="119" t="s">
        <v>113</v>
      </c>
      <c r="AQ513" s="119" t="s">
        <v>118</v>
      </c>
      <c r="AR513" s="119" t="s">
        <v>121</v>
      </c>
      <c r="AS513" s="119" t="s">
        <v>123</v>
      </c>
      <c r="AT513" s="8"/>
      <c r="AU513" s="8">
        <f t="shared" si="60"/>
        <v>128</v>
      </c>
      <c r="AV513" s="8">
        <f t="shared" si="61"/>
        <v>64</v>
      </c>
      <c r="AW513" s="8">
        <f t="shared" si="62"/>
        <v>2</v>
      </c>
      <c r="AX513" s="8">
        <f t="shared" si="63"/>
        <v>4</v>
      </c>
      <c r="AY513" s="8">
        <f t="shared" si="64"/>
        <v>1</v>
      </c>
      <c r="AZ513" s="8">
        <f t="shared" si="65"/>
        <v>32</v>
      </c>
      <c r="BA513" s="8">
        <f t="shared" si="66"/>
        <v>256</v>
      </c>
      <c r="BB513" s="8">
        <f t="shared" si="67"/>
        <v>1024</v>
      </c>
      <c r="BC513" s="8">
        <f t="shared" si="68"/>
        <v>1511</v>
      </c>
      <c r="BD513" s="8"/>
      <c r="BE513" s="8"/>
      <c r="BF513" s="8"/>
      <c r="BG513" s="8"/>
      <c r="BH513" s="8"/>
    </row>
    <row r="514" spans="2:60">
      <c r="B514" s="11"/>
      <c r="C514" s="12"/>
      <c r="D514" s="8"/>
      <c r="E514" s="13"/>
      <c r="F514" s="14"/>
      <c r="G514" s="13"/>
      <c r="H514" s="15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2">
        <v>999</v>
      </c>
      <c r="AK514" s="118">
        <v>390</v>
      </c>
      <c r="AL514" s="119" t="s">
        <v>120</v>
      </c>
      <c r="AM514" s="119" t="s">
        <v>119</v>
      </c>
      <c r="AN514" s="119" t="s">
        <v>114</v>
      </c>
      <c r="AO514" s="119" t="s">
        <v>115</v>
      </c>
      <c r="AP514" s="119" t="s">
        <v>113</v>
      </c>
      <c r="AQ514" s="119" t="s">
        <v>118</v>
      </c>
      <c r="AR514" s="119" t="s">
        <v>121</v>
      </c>
      <c r="AS514" s="119" t="s">
        <v>122</v>
      </c>
      <c r="AT514" s="8"/>
      <c r="AU514" s="8">
        <f t="shared" si="60"/>
        <v>128</v>
      </c>
      <c r="AV514" s="8">
        <f t="shared" si="61"/>
        <v>64</v>
      </c>
      <c r="AW514" s="8">
        <f t="shared" si="62"/>
        <v>2</v>
      </c>
      <c r="AX514" s="8">
        <f t="shared" si="63"/>
        <v>4</v>
      </c>
      <c r="AY514" s="8">
        <f t="shared" si="64"/>
        <v>1</v>
      </c>
      <c r="AZ514" s="8">
        <f t="shared" si="65"/>
        <v>32</v>
      </c>
      <c r="BA514" s="8">
        <f t="shared" si="66"/>
        <v>256</v>
      </c>
      <c r="BB514" s="8">
        <f t="shared" si="67"/>
        <v>512</v>
      </c>
      <c r="BC514" s="8">
        <f t="shared" si="68"/>
        <v>999</v>
      </c>
      <c r="BD514" s="8"/>
      <c r="BE514" s="8"/>
      <c r="BF514" s="8"/>
      <c r="BG514" s="8"/>
      <c r="BH514" s="8"/>
    </row>
    <row r="515" spans="2:60">
      <c r="B515" s="11"/>
      <c r="C515" s="12"/>
      <c r="D515" s="8"/>
      <c r="E515" s="13"/>
      <c r="F515" s="14"/>
      <c r="G515" s="13"/>
      <c r="H515" s="15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2">
        <v>3863</v>
      </c>
      <c r="AK515" s="118">
        <v>391</v>
      </c>
      <c r="AL515" s="119" t="s">
        <v>117</v>
      </c>
      <c r="AM515" s="119" t="s">
        <v>122</v>
      </c>
      <c r="AN515" s="119" t="s">
        <v>114</v>
      </c>
      <c r="AO515" s="119" t="s">
        <v>113</v>
      </c>
      <c r="AP515" s="119" t="s">
        <v>121</v>
      </c>
      <c r="AQ515" s="119" t="s">
        <v>115</v>
      </c>
      <c r="AR515" s="119" t="s">
        <v>124</v>
      </c>
      <c r="AS515" s="119" t="s">
        <v>123</v>
      </c>
      <c r="AT515" s="8"/>
      <c r="AU515" s="8">
        <f t="shared" si="60"/>
        <v>16</v>
      </c>
      <c r="AV515" s="8">
        <f t="shared" si="61"/>
        <v>512</v>
      </c>
      <c r="AW515" s="8">
        <f t="shared" si="62"/>
        <v>2</v>
      </c>
      <c r="AX515" s="8">
        <f t="shared" si="63"/>
        <v>1</v>
      </c>
      <c r="AY515" s="8">
        <f t="shared" si="64"/>
        <v>256</v>
      </c>
      <c r="AZ515" s="8">
        <f t="shared" si="65"/>
        <v>4</v>
      </c>
      <c r="BA515" s="8">
        <f t="shared" si="66"/>
        <v>2048</v>
      </c>
      <c r="BB515" s="8">
        <f t="shared" si="67"/>
        <v>1024</v>
      </c>
      <c r="BC515" s="8">
        <f t="shared" si="68"/>
        <v>3863</v>
      </c>
      <c r="BD515" s="8"/>
      <c r="BE515" s="8"/>
      <c r="BF515" s="8"/>
      <c r="BG515" s="8"/>
      <c r="BH515" s="8"/>
    </row>
    <row r="516" spans="2:60">
      <c r="B516" s="11"/>
      <c r="C516" s="12"/>
      <c r="D516" s="8"/>
      <c r="E516" s="13"/>
      <c r="F516" s="14"/>
      <c r="G516" s="13"/>
      <c r="H516" s="15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2">
        <v>3735</v>
      </c>
      <c r="AK516" s="118">
        <v>392</v>
      </c>
      <c r="AL516" s="119" t="s">
        <v>117</v>
      </c>
      <c r="AM516" s="119" t="s">
        <v>122</v>
      </c>
      <c r="AN516" s="119" t="s">
        <v>114</v>
      </c>
      <c r="AO516" s="119" t="s">
        <v>115</v>
      </c>
      <c r="AP516" s="119" t="s">
        <v>113</v>
      </c>
      <c r="AQ516" s="119" t="s">
        <v>120</v>
      </c>
      <c r="AR516" s="119" t="s">
        <v>124</v>
      </c>
      <c r="AS516" s="119" t="s">
        <v>123</v>
      </c>
      <c r="AT516" s="8"/>
      <c r="AU516" s="8">
        <f t="shared" si="60"/>
        <v>16</v>
      </c>
      <c r="AV516" s="8">
        <f t="shared" si="61"/>
        <v>512</v>
      </c>
      <c r="AW516" s="8">
        <f t="shared" si="62"/>
        <v>2</v>
      </c>
      <c r="AX516" s="8">
        <f t="shared" si="63"/>
        <v>4</v>
      </c>
      <c r="AY516" s="8">
        <f t="shared" si="64"/>
        <v>1</v>
      </c>
      <c r="AZ516" s="8">
        <f t="shared" si="65"/>
        <v>128</v>
      </c>
      <c r="BA516" s="8">
        <f t="shared" si="66"/>
        <v>2048</v>
      </c>
      <c r="BB516" s="8">
        <f t="shared" si="67"/>
        <v>1024</v>
      </c>
      <c r="BC516" s="8">
        <f t="shared" si="68"/>
        <v>3735</v>
      </c>
      <c r="BD516" s="8"/>
      <c r="BE516" s="8"/>
      <c r="BF516" s="8"/>
      <c r="BG516" s="8"/>
      <c r="BH516" s="8"/>
    </row>
    <row r="517" spans="2:60">
      <c r="B517" s="11"/>
      <c r="C517" s="12"/>
      <c r="D517" s="8"/>
      <c r="E517" s="13"/>
      <c r="F517" s="14"/>
      <c r="G517" s="13"/>
      <c r="H517" s="15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2">
        <v>3479</v>
      </c>
      <c r="AK517" s="118">
        <v>393</v>
      </c>
      <c r="AL517" s="119" t="s">
        <v>117</v>
      </c>
      <c r="AM517" s="119" t="s">
        <v>121</v>
      </c>
      <c r="AN517" s="119" t="s">
        <v>114</v>
      </c>
      <c r="AO517" s="119" t="s">
        <v>115</v>
      </c>
      <c r="AP517" s="119" t="s">
        <v>113</v>
      </c>
      <c r="AQ517" s="119" t="s">
        <v>120</v>
      </c>
      <c r="AR517" s="119" t="s">
        <v>124</v>
      </c>
      <c r="AS517" s="119" t="s">
        <v>123</v>
      </c>
      <c r="AT517" s="8"/>
      <c r="AU517" s="8">
        <f t="shared" si="60"/>
        <v>16</v>
      </c>
      <c r="AV517" s="8">
        <f t="shared" si="61"/>
        <v>256</v>
      </c>
      <c r="AW517" s="8">
        <f t="shared" si="62"/>
        <v>2</v>
      </c>
      <c r="AX517" s="8">
        <f t="shared" si="63"/>
        <v>4</v>
      </c>
      <c r="AY517" s="8">
        <f t="shared" si="64"/>
        <v>1</v>
      </c>
      <c r="AZ517" s="8">
        <f t="shared" si="65"/>
        <v>128</v>
      </c>
      <c r="BA517" s="8">
        <f t="shared" si="66"/>
        <v>2048</v>
      </c>
      <c r="BB517" s="8">
        <f t="shared" si="67"/>
        <v>1024</v>
      </c>
      <c r="BC517" s="8">
        <f t="shared" si="68"/>
        <v>3479</v>
      </c>
      <c r="BD517" s="8"/>
      <c r="BE517" s="8"/>
      <c r="BF517" s="8"/>
      <c r="BG517" s="8"/>
      <c r="BH517" s="8"/>
    </row>
    <row r="518" spans="2:60">
      <c r="B518" s="11"/>
      <c r="C518" s="12"/>
      <c r="D518" s="8"/>
      <c r="E518" s="13"/>
      <c r="F518" s="14"/>
      <c r="G518" s="13"/>
      <c r="H518" s="15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2">
        <v>2967</v>
      </c>
      <c r="AK518" s="118">
        <v>394</v>
      </c>
      <c r="AL518" s="119" t="s">
        <v>117</v>
      </c>
      <c r="AM518" s="119" t="s">
        <v>122</v>
      </c>
      <c r="AN518" s="119" t="s">
        <v>114</v>
      </c>
      <c r="AO518" s="119" t="s">
        <v>115</v>
      </c>
      <c r="AP518" s="119" t="s">
        <v>113</v>
      </c>
      <c r="AQ518" s="119" t="s">
        <v>120</v>
      </c>
      <c r="AR518" s="119" t="s">
        <v>124</v>
      </c>
      <c r="AS518" s="119" t="s">
        <v>121</v>
      </c>
      <c r="AT518" s="8"/>
      <c r="AU518" s="8">
        <f t="shared" si="60"/>
        <v>16</v>
      </c>
      <c r="AV518" s="8">
        <f t="shared" si="61"/>
        <v>512</v>
      </c>
      <c r="AW518" s="8">
        <f t="shared" si="62"/>
        <v>2</v>
      </c>
      <c r="AX518" s="8">
        <f t="shared" si="63"/>
        <v>4</v>
      </c>
      <c r="AY518" s="8">
        <f t="shared" si="64"/>
        <v>1</v>
      </c>
      <c r="AZ518" s="8">
        <f t="shared" si="65"/>
        <v>128</v>
      </c>
      <c r="BA518" s="8">
        <f t="shared" si="66"/>
        <v>2048</v>
      </c>
      <c r="BB518" s="8">
        <f t="shared" si="67"/>
        <v>256</v>
      </c>
      <c r="BC518" s="8">
        <f t="shared" si="68"/>
        <v>2967</v>
      </c>
      <c r="BD518" s="8"/>
      <c r="BE518" s="8"/>
      <c r="BF518" s="8"/>
      <c r="BG518" s="8"/>
      <c r="BH518" s="8"/>
    </row>
    <row r="519" spans="2:60">
      <c r="B519" s="11"/>
      <c r="C519" s="12"/>
      <c r="D519" s="8"/>
      <c r="E519" s="13"/>
      <c r="F519" s="14"/>
      <c r="G519" s="13"/>
      <c r="H519" s="15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2">
        <v>1943</v>
      </c>
      <c r="AK519" s="118">
        <v>395</v>
      </c>
      <c r="AL519" s="119" t="s">
        <v>117</v>
      </c>
      <c r="AM519" s="119" t="s">
        <v>122</v>
      </c>
      <c r="AN519" s="119" t="s">
        <v>114</v>
      </c>
      <c r="AO519" s="119" t="s">
        <v>115</v>
      </c>
      <c r="AP519" s="119" t="s">
        <v>113</v>
      </c>
      <c r="AQ519" s="119" t="s">
        <v>120</v>
      </c>
      <c r="AR519" s="119" t="s">
        <v>121</v>
      </c>
      <c r="AS519" s="119" t="s">
        <v>123</v>
      </c>
      <c r="AT519" s="8"/>
      <c r="AU519" s="8">
        <f t="shared" si="60"/>
        <v>16</v>
      </c>
      <c r="AV519" s="8">
        <f t="shared" si="61"/>
        <v>512</v>
      </c>
      <c r="AW519" s="8">
        <f t="shared" si="62"/>
        <v>2</v>
      </c>
      <c r="AX519" s="8">
        <f t="shared" si="63"/>
        <v>4</v>
      </c>
      <c r="AY519" s="8">
        <f t="shared" si="64"/>
        <v>1</v>
      </c>
      <c r="AZ519" s="8">
        <f t="shared" si="65"/>
        <v>128</v>
      </c>
      <c r="BA519" s="8">
        <f t="shared" si="66"/>
        <v>256</v>
      </c>
      <c r="BB519" s="8">
        <f t="shared" si="67"/>
        <v>1024</v>
      </c>
      <c r="BC519" s="8">
        <f t="shared" si="68"/>
        <v>1943</v>
      </c>
      <c r="BD519" s="8"/>
      <c r="BE519" s="8"/>
      <c r="BF519" s="8"/>
      <c r="BG519" s="8"/>
      <c r="BH519" s="8"/>
    </row>
    <row r="520" spans="2:60">
      <c r="B520" s="11"/>
      <c r="C520" s="12"/>
      <c r="D520" s="8"/>
      <c r="E520" s="13"/>
      <c r="F520" s="14"/>
      <c r="G520" s="13"/>
      <c r="H520" s="15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2">
        <v>3671</v>
      </c>
      <c r="AK520" s="118">
        <v>396</v>
      </c>
      <c r="AL520" s="119" t="s">
        <v>117</v>
      </c>
      <c r="AM520" s="119" t="s">
        <v>122</v>
      </c>
      <c r="AN520" s="119" t="s">
        <v>114</v>
      </c>
      <c r="AO520" s="119" t="s">
        <v>115</v>
      </c>
      <c r="AP520" s="119" t="s">
        <v>113</v>
      </c>
      <c r="AQ520" s="119" t="s">
        <v>119</v>
      </c>
      <c r="AR520" s="119" t="s">
        <v>124</v>
      </c>
      <c r="AS520" s="119" t="s">
        <v>123</v>
      </c>
      <c r="AT520" s="8"/>
      <c r="AU520" s="8">
        <f t="shared" si="60"/>
        <v>16</v>
      </c>
      <c r="AV520" s="8">
        <f t="shared" si="61"/>
        <v>512</v>
      </c>
      <c r="AW520" s="8">
        <f t="shared" si="62"/>
        <v>2</v>
      </c>
      <c r="AX520" s="8">
        <f t="shared" si="63"/>
        <v>4</v>
      </c>
      <c r="AY520" s="8">
        <f t="shared" si="64"/>
        <v>1</v>
      </c>
      <c r="AZ520" s="8">
        <f t="shared" si="65"/>
        <v>64</v>
      </c>
      <c r="BA520" s="8">
        <f t="shared" si="66"/>
        <v>2048</v>
      </c>
      <c r="BB520" s="8">
        <f t="shared" si="67"/>
        <v>1024</v>
      </c>
      <c r="BC520" s="8">
        <f t="shared" si="68"/>
        <v>3671</v>
      </c>
      <c r="BD520" s="8"/>
      <c r="BE520" s="8"/>
      <c r="BF520" s="8"/>
      <c r="BG520" s="8"/>
      <c r="BH520" s="8"/>
    </row>
    <row r="521" spans="2:60">
      <c r="B521" s="11"/>
      <c r="C521" s="12"/>
      <c r="D521" s="8"/>
      <c r="E521" s="13"/>
      <c r="F521" s="14"/>
      <c r="G521" s="13"/>
      <c r="H521" s="15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2">
        <v>3415</v>
      </c>
      <c r="AK521" s="118">
        <v>397</v>
      </c>
      <c r="AL521" s="119" t="s">
        <v>117</v>
      </c>
      <c r="AM521" s="119" t="s">
        <v>119</v>
      </c>
      <c r="AN521" s="119" t="s">
        <v>114</v>
      </c>
      <c r="AO521" s="119" t="s">
        <v>113</v>
      </c>
      <c r="AP521" s="119" t="s">
        <v>121</v>
      </c>
      <c r="AQ521" s="119" t="s">
        <v>115</v>
      </c>
      <c r="AR521" s="119" t="s">
        <v>124</v>
      </c>
      <c r="AS521" s="119" t="s">
        <v>123</v>
      </c>
      <c r="AT521" s="8"/>
      <c r="AU521" s="8">
        <f t="shared" si="60"/>
        <v>16</v>
      </c>
      <c r="AV521" s="8">
        <f t="shared" si="61"/>
        <v>64</v>
      </c>
      <c r="AW521" s="8">
        <f t="shared" si="62"/>
        <v>2</v>
      </c>
      <c r="AX521" s="8">
        <f t="shared" si="63"/>
        <v>1</v>
      </c>
      <c r="AY521" s="8">
        <f t="shared" si="64"/>
        <v>256</v>
      </c>
      <c r="AZ521" s="8">
        <f t="shared" si="65"/>
        <v>4</v>
      </c>
      <c r="BA521" s="8">
        <f t="shared" si="66"/>
        <v>2048</v>
      </c>
      <c r="BB521" s="8">
        <f t="shared" si="67"/>
        <v>1024</v>
      </c>
      <c r="BC521" s="8">
        <f t="shared" si="68"/>
        <v>3415</v>
      </c>
      <c r="BD521" s="8"/>
      <c r="BE521" s="8"/>
      <c r="BF521" s="8"/>
      <c r="BG521" s="8"/>
      <c r="BH521" s="8"/>
    </row>
    <row r="522" spans="2:60">
      <c r="B522" s="11"/>
      <c r="C522" s="12"/>
      <c r="D522" s="8"/>
      <c r="E522" s="13"/>
      <c r="F522" s="14"/>
      <c r="G522" s="13"/>
      <c r="H522" s="15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2">
        <v>2903</v>
      </c>
      <c r="AK522" s="118">
        <v>398</v>
      </c>
      <c r="AL522" s="119" t="s">
        <v>117</v>
      </c>
      <c r="AM522" s="119" t="s">
        <v>122</v>
      </c>
      <c r="AN522" s="119" t="s">
        <v>114</v>
      </c>
      <c r="AO522" s="119" t="s">
        <v>115</v>
      </c>
      <c r="AP522" s="119" t="s">
        <v>113</v>
      </c>
      <c r="AQ522" s="119" t="s">
        <v>119</v>
      </c>
      <c r="AR522" s="119" t="s">
        <v>124</v>
      </c>
      <c r="AS522" s="119" t="s">
        <v>121</v>
      </c>
      <c r="AT522" s="8"/>
      <c r="AU522" s="8">
        <f t="shared" si="60"/>
        <v>16</v>
      </c>
      <c r="AV522" s="8">
        <f t="shared" si="61"/>
        <v>512</v>
      </c>
      <c r="AW522" s="8">
        <f t="shared" si="62"/>
        <v>2</v>
      </c>
      <c r="AX522" s="8">
        <f t="shared" si="63"/>
        <v>4</v>
      </c>
      <c r="AY522" s="8">
        <f t="shared" si="64"/>
        <v>1</v>
      </c>
      <c r="AZ522" s="8">
        <f t="shared" si="65"/>
        <v>64</v>
      </c>
      <c r="BA522" s="8">
        <f t="shared" si="66"/>
        <v>2048</v>
      </c>
      <c r="BB522" s="8">
        <f t="shared" si="67"/>
        <v>256</v>
      </c>
      <c r="BC522" s="8">
        <f t="shared" si="68"/>
        <v>2903</v>
      </c>
      <c r="BD522" s="8"/>
      <c r="BE522" s="8"/>
      <c r="BF522" s="8"/>
      <c r="BG522" s="8"/>
      <c r="BH522" s="8"/>
    </row>
    <row r="523" spans="2:60">
      <c r="B523" s="11"/>
      <c r="C523" s="12"/>
      <c r="D523" s="8"/>
      <c r="E523" s="13"/>
      <c r="F523" s="14"/>
      <c r="G523" s="13"/>
      <c r="H523" s="15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2">
        <v>1879</v>
      </c>
      <c r="AK523" s="118">
        <v>399</v>
      </c>
      <c r="AL523" s="119" t="s">
        <v>117</v>
      </c>
      <c r="AM523" s="119" t="s">
        <v>122</v>
      </c>
      <c r="AN523" s="119" t="s">
        <v>114</v>
      </c>
      <c r="AO523" s="119" t="s">
        <v>115</v>
      </c>
      <c r="AP523" s="119" t="s">
        <v>113</v>
      </c>
      <c r="AQ523" s="119" t="s">
        <v>119</v>
      </c>
      <c r="AR523" s="119" t="s">
        <v>121</v>
      </c>
      <c r="AS523" s="119" t="s">
        <v>123</v>
      </c>
      <c r="AT523" s="8"/>
      <c r="AU523" s="8">
        <f t="shared" si="60"/>
        <v>16</v>
      </c>
      <c r="AV523" s="8">
        <f t="shared" si="61"/>
        <v>512</v>
      </c>
      <c r="AW523" s="8">
        <f t="shared" si="62"/>
        <v>2</v>
      </c>
      <c r="AX523" s="8">
        <f t="shared" si="63"/>
        <v>4</v>
      </c>
      <c r="AY523" s="8">
        <f t="shared" si="64"/>
        <v>1</v>
      </c>
      <c r="AZ523" s="8">
        <f t="shared" si="65"/>
        <v>64</v>
      </c>
      <c r="BA523" s="8">
        <f t="shared" si="66"/>
        <v>256</v>
      </c>
      <c r="BB523" s="8">
        <f t="shared" si="67"/>
        <v>1024</v>
      </c>
      <c r="BC523" s="8">
        <f t="shared" si="68"/>
        <v>1879</v>
      </c>
      <c r="BD523" s="8"/>
      <c r="BE523" s="8"/>
      <c r="BF523" s="8"/>
      <c r="BG523" s="8"/>
      <c r="BH523" s="8"/>
    </row>
    <row r="524" spans="2:60">
      <c r="B524" s="11"/>
      <c r="C524" s="12"/>
      <c r="D524" s="8"/>
      <c r="E524" s="13"/>
      <c r="F524" s="14"/>
      <c r="G524" s="13"/>
      <c r="H524" s="15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2">
        <v>3287</v>
      </c>
      <c r="AK524" s="118">
        <v>400</v>
      </c>
      <c r="AL524" s="119" t="s">
        <v>117</v>
      </c>
      <c r="AM524" s="119" t="s">
        <v>119</v>
      </c>
      <c r="AN524" s="119" t="s">
        <v>114</v>
      </c>
      <c r="AO524" s="119" t="s">
        <v>115</v>
      </c>
      <c r="AP524" s="119" t="s">
        <v>113</v>
      </c>
      <c r="AQ524" s="119" t="s">
        <v>120</v>
      </c>
      <c r="AR524" s="119" t="s">
        <v>124</v>
      </c>
      <c r="AS524" s="119" t="s">
        <v>123</v>
      </c>
      <c r="AT524" s="8"/>
      <c r="AU524" s="8">
        <f t="shared" si="60"/>
        <v>16</v>
      </c>
      <c r="AV524" s="8">
        <f t="shared" si="61"/>
        <v>64</v>
      </c>
      <c r="AW524" s="8">
        <f t="shared" si="62"/>
        <v>2</v>
      </c>
      <c r="AX524" s="8">
        <f t="shared" si="63"/>
        <v>4</v>
      </c>
      <c r="AY524" s="8">
        <f t="shared" si="64"/>
        <v>1</v>
      </c>
      <c r="AZ524" s="8">
        <f t="shared" si="65"/>
        <v>128</v>
      </c>
      <c r="BA524" s="8">
        <f t="shared" si="66"/>
        <v>2048</v>
      </c>
      <c r="BB524" s="8">
        <f t="shared" si="67"/>
        <v>1024</v>
      </c>
      <c r="BC524" s="8">
        <f t="shared" si="68"/>
        <v>3287</v>
      </c>
      <c r="BD524" s="8"/>
      <c r="BE524" s="8"/>
      <c r="BF524" s="8"/>
      <c r="BG524" s="8"/>
      <c r="BH524" s="8"/>
    </row>
    <row r="525" spans="2:60">
      <c r="B525" s="11"/>
      <c r="C525" s="12"/>
      <c r="D525" s="8"/>
      <c r="E525" s="13"/>
      <c r="F525" s="14"/>
      <c r="G525" s="13"/>
      <c r="H525" s="15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2">
        <v>2775</v>
      </c>
      <c r="AK525" s="118">
        <v>401</v>
      </c>
      <c r="AL525" s="119" t="s">
        <v>120</v>
      </c>
      <c r="AM525" s="119" t="s">
        <v>122</v>
      </c>
      <c r="AN525" s="119" t="s">
        <v>114</v>
      </c>
      <c r="AO525" s="119" t="s">
        <v>115</v>
      </c>
      <c r="AP525" s="119" t="s">
        <v>113</v>
      </c>
      <c r="AQ525" s="119" t="s">
        <v>119</v>
      </c>
      <c r="AR525" s="119" t="s">
        <v>124</v>
      </c>
      <c r="AS525" s="119" t="s">
        <v>117</v>
      </c>
      <c r="AT525" s="8"/>
      <c r="AU525" s="8">
        <f t="shared" si="60"/>
        <v>128</v>
      </c>
      <c r="AV525" s="8">
        <f t="shared" si="61"/>
        <v>512</v>
      </c>
      <c r="AW525" s="8">
        <f t="shared" si="62"/>
        <v>2</v>
      </c>
      <c r="AX525" s="8">
        <f t="shared" si="63"/>
        <v>4</v>
      </c>
      <c r="AY525" s="8">
        <f t="shared" si="64"/>
        <v>1</v>
      </c>
      <c r="AZ525" s="8">
        <f t="shared" si="65"/>
        <v>64</v>
      </c>
      <c r="BA525" s="8">
        <f t="shared" si="66"/>
        <v>2048</v>
      </c>
      <c r="BB525" s="8">
        <f t="shared" si="67"/>
        <v>16</v>
      </c>
      <c r="BC525" s="8">
        <f t="shared" si="68"/>
        <v>2775</v>
      </c>
      <c r="BD525" s="8"/>
      <c r="BE525" s="8"/>
      <c r="BF525" s="8"/>
      <c r="BG525" s="8"/>
      <c r="BH525" s="8"/>
    </row>
    <row r="526" spans="2:60">
      <c r="B526" s="11"/>
      <c r="C526" s="12"/>
      <c r="D526" s="8"/>
      <c r="E526" s="13"/>
      <c r="F526" s="14"/>
      <c r="G526" s="13"/>
      <c r="H526" s="15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2">
        <v>1751</v>
      </c>
      <c r="AK526" s="118">
        <v>402</v>
      </c>
      <c r="AL526" s="119" t="s">
        <v>120</v>
      </c>
      <c r="AM526" s="119" t="s">
        <v>122</v>
      </c>
      <c r="AN526" s="119" t="s">
        <v>114</v>
      </c>
      <c r="AO526" s="119" t="s">
        <v>115</v>
      </c>
      <c r="AP526" s="119" t="s">
        <v>113</v>
      </c>
      <c r="AQ526" s="119" t="s">
        <v>119</v>
      </c>
      <c r="AR526" s="119" t="s">
        <v>117</v>
      </c>
      <c r="AS526" s="119" t="s">
        <v>123</v>
      </c>
      <c r="AT526" s="8"/>
      <c r="AU526" s="8">
        <f t="shared" si="60"/>
        <v>128</v>
      </c>
      <c r="AV526" s="8">
        <f t="shared" si="61"/>
        <v>512</v>
      </c>
      <c r="AW526" s="8">
        <f t="shared" si="62"/>
        <v>2</v>
      </c>
      <c r="AX526" s="8">
        <f t="shared" si="63"/>
        <v>4</v>
      </c>
      <c r="AY526" s="8">
        <f t="shared" si="64"/>
        <v>1</v>
      </c>
      <c r="AZ526" s="8">
        <f t="shared" si="65"/>
        <v>64</v>
      </c>
      <c r="BA526" s="8">
        <f t="shared" si="66"/>
        <v>16</v>
      </c>
      <c r="BB526" s="8">
        <f t="shared" si="67"/>
        <v>1024</v>
      </c>
      <c r="BC526" s="8">
        <f t="shared" si="68"/>
        <v>1751</v>
      </c>
      <c r="BD526" s="8"/>
      <c r="BE526" s="8"/>
      <c r="BF526" s="8"/>
      <c r="BG526" s="8"/>
      <c r="BH526" s="8"/>
    </row>
    <row r="527" spans="2:60">
      <c r="B527" s="11"/>
      <c r="C527" s="12"/>
      <c r="D527" s="8"/>
      <c r="E527" s="13"/>
      <c r="F527" s="14"/>
      <c r="G527" s="13"/>
      <c r="H527" s="15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2">
        <v>2519</v>
      </c>
      <c r="AK527" s="118">
        <v>403</v>
      </c>
      <c r="AL527" s="119" t="s">
        <v>117</v>
      </c>
      <c r="AM527" s="119" t="s">
        <v>119</v>
      </c>
      <c r="AN527" s="119" t="s">
        <v>114</v>
      </c>
      <c r="AO527" s="119" t="s">
        <v>115</v>
      </c>
      <c r="AP527" s="119" t="s">
        <v>113</v>
      </c>
      <c r="AQ527" s="119" t="s">
        <v>120</v>
      </c>
      <c r="AR527" s="119" t="s">
        <v>124</v>
      </c>
      <c r="AS527" s="119" t="s">
        <v>121</v>
      </c>
      <c r="AT527" s="8"/>
      <c r="AU527" s="8">
        <f t="shared" si="60"/>
        <v>16</v>
      </c>
      <c r="AV527" s="8">
        <f t="shared" si="61"/>
        <v>64</v>
      </c>
      <c r="AW527" s="8">
        <f t="shared" si="62"/>
        <v>2</v>
      </c>
      <c r="AX527" s="8">
        <f t="shared" si="63"/>
        <v>4</v>
      </c>
      <c r="AY527" s="8">
        <f t="shared" si="64"/>
        <v>1</v>
      </c>
      <c r="AZ527" s="8">
        <f t="shared" si="65"/>
        <v>128</v>
      </c>
      <c r="BA527" s="8">
        <f t="shared" si="66"/>
        <v>2048</v>
      </c>
      <c r="BB527" s="8">
        <f t="shared" si="67"/>
        <v>256</v>
      </c>
      <c r="BC527" s="8">
        <f t="shared" si="68"/>
        <v>2519</v>
      </c>
      <c r="BD527" s="8"/>
      <c r="BE527" s="8"/>
      <c r="BF527" s="8"/>
      <c r="BG527" s="8"/>
      <c r="BH527" s="8"/>
    </row>
    <row r="528" spans="2:60">
      <c r="B528" s="11"/>
      <c r="C528" s="12"/>
      <c r="D528" s="8"/>
      <c r="E528" s="13"/>
      <c r="F528" s="14"/>
      <c r="G528" s="13"/>
      <c r="H528" s="15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2">
        <v>1495</v>
      </c>
      <c r="AK528" s="118">
        <v>404</v>
      </c>
      <c r="AL528" s="119" t="s">
        <v>117</v>
      </c>
      <c r="AM528" s="119" t="s">
        <v>119</v>
      </c>
      <c r="AN528" s="119" t="s">
        <v>114</v>
      </c>
      <c r="AO528" s="119" t="s">
        <v>115</v>
      </c>
      <c r="AP528" s="119" t="s">
        <v>113</v>
      </c>
      <c r="AQ528" s="119" t="s">
        <v>120</v>
      </c>
      <c r="AR528" s="119" t="s">
        <v>121</v>
      </c>
      <c r="AS528" s="119" t="s">
        <v>123</v>
      </c>
      <c r="AT528" s="8"/>
      <c r="AU528" s="8">
        <f t="shared" si="60"/>
        <v>16</v>
      </c>
      <c r="AV528" s="8">
        <f t="shared" si="61"/>
        <v>64</v>
      </c>
      <c r="AW528" s="8">
        <f t="shared" si="62"/>
        <v>2</v>
      </c>
      <c r="AX528" s="8">
        <f t="shared" si="63"/>
        <v>4</v>
      </c>
      <c r="AY528" s="8">
        <f t="shared" si="64"/>
        <v>1</v>
      </c>
      <c r="AZ528" s="8">
        <f t="shared" si="65"/>
        <v>128</v>
      </c>
      <c r="BA528" s="8">
        <f t="shared" si="66"/>
        <v>256</v>
      </c>
      <c r="BB528" s="8">
        <f t="shared" si="67"/>
        <v>1024</v>
      </c>
      <c r="BC528" s="8">
        <f t="shared" si="68"/>
        <v>1495</v>
      </c>
      <c r="BD528" s="8"/>
      <c r="BE528" s="8"/>
      <c r="BF528" s="8"/>
      <c r="BG528" s="8"/>
      <c r="BH528" s="8"/>
    </row>
    <row r="529" spans="2:60">
      <c r="B529" s="11"/>
      <c r="C529" s="12"/>
      <c r="D529" s="8"/>
      <c r="E529" s="13"/>
      <c r="F529" s="14"/>
      <c r="G529" s="13"/>
      <c r="H529" s="15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2">
        <v>983</v>
      </c>
      <c r="AK529" s="118">
        <v>405</v>
      </c>
      <c r="AL529" s="119" t="s">
        <v>120</v>
      </c>
      <c r="AM529" s="119" t="s">
        <v>122</v>
      </c>
      <c r="AN529" s="119" t="s">
        <v>114</v>
      </c>
      <c r="AO529" s="119" t="s">
        <v>115</v>
      </c>
      <c r="AP529" s="119" t="s">
        <v>113</v>
      </c>
      <c r="AQ529" s="119" t="s">
        <v>119</v>
      </c>
      <c r="AR529" s="119" t="s">
        <v>117</v>
      </c>
      <c r="AS529" s="119" t="s">
        <v>121</v>
      </c>
      <c r="AT529" s="8"/>
      <c r="AU529" s="8">
        <f t="shared" si="60"/>
        <v>128</v>
      </c>
      <c r="AV529" s="8">
        <f t="shared" si="61"/>
        <v>512</v>
      </c>
      <c r="AW529" s="8">
        <f t="shared" si="62"/>
        <v>2</v>
      </c>
      <c r="AX529" s="8">
        <f t="shared" si="63"/>
        <v>4</v>
      </c>
      <c r="AY529" s="8">
        <f t="shared" si="64"/>
        <v>1</v>
      </c>
      <c r="AZ529" s="8">
        <f t="shared" si="65"/>
        <v>64</v>
      </c>
      <c r="BA529" s="8">
        <f t="shared" si="66"/>
        <v>16</v>
      </c>
      <c r="BB529" s="8">
        <f t="shared" si="67"/>
        <v>256</v>
      </c>
      <c r="BC529" s="8">
        <f t="shared" si="68"/>
        <v>983</v>
      </c>
      <c r="BD529" s="8"/>
      <c r="BE529" s="8"/>
      <c r="BF529" s="8"/>
      <c r="BG529" s="8"/>
      <c r="BH529" s="8"/>
    </row>
    <row r="530" spans="2:60">
      <c r="B530" s="11"/>
      <c r="C530" s="12"/>
      <c r="D530" s="8"/>
      <c r="E530" s="13"/>
      <c r="F530" s="14"/>
      <c r="G530" s="13"/>
      <c r="H530" s="15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2">
        <v>3639</v>
      </c>
      <c r="AK530" s="118">
        <v>406</v>
      </c>
      <c r="AL530" s="119" t="s">
        <v>117</v>
      </c>
      <c r="AM530" s="119" t="s">
        <v>122</v>
      </c>
      <c r="AN530" s="119" t="s">
        <v>114</v>
      </c>
      <c r="AO530" s="119" t="s">
        <v>115</v>
      </c>
      <c r="AP530" s="119" t="s">
        <v>113</v>
      </c>
      <c r="AQ530" s="119" t="s">
        <v>118</v>
      </c>
      <c r="AR530" s="119" t="s">
        <v>124</v>
      </c>
      <c r="AS530" s="119" t="s">
        <v>123</v>
      </c>
      <c r="AT530" s="8"/>
      <c r="AU530" s="8">
        <f t="shared" si="60"/>
        <v>16</v>
      </c>
      <c r="AV530" s="8">
        <f t="shared" si="61"/>
        <v>512</v>
      </c>
      <c r="AW530" s="8">
        <f t="shared" si="62"/>
        <v>2</v>
      </c>
      <c r="AX530" s="8">
        <f t="shared" si="63"/>
        <v>4</v>
      </c>
      <c r="AY530" s="8">
        <f t="shared" si="64"/>
        <v>1</v>
      </c>
      <c r="AZ530" s="8">
        <f t="shared" si="65"/>
        <v>32</v>
      </c>
      <c r="BA530" s="8">
        <f t="shared" si="66"/>
        <v>2048</v>
      </c>
      <c r="BB530" s="8">
        <f t="shared" si="67"/>
        <v>1024</v>
      </c>
      <c r="BC530" s="8">
        <f t="shared" si="68"/>
        <v>3639</v>
      </c>
      <c r="BD530" s="8"/>
      <c r="BE530" s="8"/>
      <c r="BF530" s="8"/>
      <c r="BG530" s="8"/>
      <c r="BH530" s="8"/>
    </row>
    <row r="531" spans="2:60">
      <c r="B531" s="11"/>
      <c r="C531" s="12"/>
      <c r="D531" s="8"/>
      <c r="E531" s="13"/>
      <c r="F531" s="14"/>
      <c r="G531" s="13"/>
      <c r="H531" s="1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2">
        <v>3383</v>
      </c>
      <c r="AK531" s="118">
        <v>407</v>
      </c>
      <c r="AL531" s="119" t="s">
        <v>117</v>
      </c>
      <c r="AM531" s="119" t="s">
        <v>121</v>
      </c>
      <c r="AN531" s="119" t="s">
        <v>114</v>
      </c>
      <c r="AO531" s="119" t="s">
        <v>115</v>
      </c>
      <c r="AP531" s="119" t="s">
        <v>113</v>
      </c>
      <c r="AQ531" s="119" t="s">
        <v>118</v>
      </c>
      <c r="AR531" s="119" t="s">
        <v>124</v>
      </c>
      <c r="AS531" s="119" t="s">
        <v>123</v>
      </c>
      <c r="AT531" s="8"/>
      <c r="AU531" s="8">
        <f t="shared" si="60"/>
        <v>16</v>
      </c>
      <c r="AV531" s="8">
        <f t="shared" si="61"/>
        <v>256</v>
      </c>
      <c r="AW531" s="8">
        <f t="shared" si="62"/>
        <v>2</v>
      </c>
      <c r="AX531" s="8">
        <f t="shared" si="63"/>
        <v>4</v>
      </c>
      <c r="AY531" s="8">
        <f t="shared" si="64"/>
        <v>1</v>
      </c>
      <c r="AZ531" s="8">
        <f t="shared" si="65"/>
        <v>32</v>
      </c>
      <c r="BA531" s="8">
        <f t="shared" si="66"/>
        <v>2048</v>
      </c>
      <c r="BB531" s="8">
        <f t="shared" si="67"/>
        <v>1024</v>
      </c>
      <c r="BC531" s="8">
        <f t="shared" si="68"/>
        <v>3383</v>
      </c>
      <c r="BD531" s="8"/>
      <c r="BE531" s="8"/>
      <c r="BF531" s="8"/>
      <c r="BG531" s="8"/>
      <c r="BH531" s="8"/>
    </row>
    <row r="532" spans="2:60">
      <c r="B532" s="11"/>
      <c r="C532" s="12"/>
      <c r="D532" s="8"/>
      <c r="E532" s="13"/>
      <c r="F532" s="14"/>
      <c r="G532" s="13"/>
      <c r="H532" s="15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2">
        <v>2871</v>
      </c>
      <c r="AK532" s="118">
        <v>408</v>
      </c>
      <c r="AL532" s="119" t="s">
        <v>117</v>
      </c>
      <c r="AM532" s="119" t="s">
        <v>122</v>
      </c>
      <c r="AN532" s="119" t="s">
        <v>114</v>
      </c>
      <c r="AO532" s="119" t="s">
        <v>115</v>
      </c>
      <c r="AP532" s="119" t="s">
        <v>113</v>
      </c>
      <c r="AQ532" s="119" t="s">
        <v>118</v>
      </c>
      <c r="AR532" s="119" t="s">
        <v>124</v>
      </c>
      <c r="AS532" s="119" t="s">
        <v>121</v>
      </c>
      <c r="AT532" s="8"/>
      <c r="AU532" s="8">
        <f t="shared" si="60"/>
        <v>16</v>
      </c>
      <c r="AV532" s="8">
        <f t="shared" si="61"/>
        <v>512</v>
      </c>
      <c r="AW532" s="8">
        <f t="shared" si="62"/>
        <v>2</v>
      </c>
      <c r="AX532" s="8">
        <f t="shared" si="63"/>
        <v>4</v>
      </c>
      <c r="AY532" s="8">
        <f t="shared" si="64"/>
        <v>1</v>
      </c>
      <c r="AZ532" s="8">
        <f t="shared" si="65"/>
        <v>32</v>
      </c>
      <c r="BA532" s="8">
        <f t="shared" si="66"/>
        <v>2048</v>
      </c>
      <c r="BB532" s="8">
        <f t="shared" si="67"/>
        <v>256</v>
      </c>
      <c r="BC532" s="8">
        <f t="shared" si="68"/>
        <v>2871</v>
      </c>
      <c r="BD532" s="8"/>
      <c r="BE532" s="8"/>
      <c r="BF532" s="8"/>
      <c r="BG532" s="8"/>
      <c r="BH532" s="8"/>
    </row>
    <row r="533" spans="2:60">
      <c r="B533" s="11"/>
      <c r="C533" s="12"/>
      <c r="D533" s="8"/>
      <c r="E533" s="13"/>
      <c r="F533" s="14"/>
      <c r="G533" s="13"/>
      <c r="H533" s="15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2">
        <v>1847</v>
      </c>
      <c r="AK533" s="118">
        <v>409</v>
      </c>
      <c r="AL533" s="119" t="s">
        <v>117</v>
      </c>
      <c r="AM533" s="119" t="s">
        <v>122</v>
      </c>
      <c r="AN533" s="119" t="s">
        <v>114</v>
      </c>
      <c r="AO533" s="119" t="s">
        <v>115</v>
      </c>
      <c r="AP533" s="119" t="s">
        <v>113</v>
      </c>
      <c r="AQ533" s="119" t="s">
        <v>118</v>
      </c>
      <c r="AR533" s="119" t="s">
        <v>121</v>
      </c>
      <c r="AS533" s="119" t="s">
        <v>123</v>
      </c>
      <c r="AT533" s="8"/>
      <c r="AU533" s="8">
        <f t="shared" si="60"/>
        <v>16</v>
      </c>
      <c r="AV533" s="8">
        <f t="shared" si="61"/>
        <v>512</v>
      </c>
      <c r="AW533" s="8">
        <f t="shared" si="62"/>
        <v>2</v>
      </c>
      <c r="AX533" s="8">
        <f t="shared" si="63"/>
        <v>4</v>
      </c>
      <c r="AY533" s="8">
        <f t="shared" si="64"/>
        <v>1</v>
      </c>
      <c r="AZ533" s="8">
        <f t="shared" si="65"/>
        <v>32</v>
      </c>
      <c r="BA533" s="8">
        <f t="shared" si="66"/>
        <v>256</v>
      </c>
      <c r="BB533" s="8">
        <f t="shared" si="67"/>
        <v>1024</v>
      </c>
      <c r="BC533" s="8">
        <f t="shared" si="68"/>
        <v>1847</v>
      </c>
      <c r="BD533" s="8"/>
      <c r="BE533" s="8"/>
      <c r="BF533" s="8"/>
      <c r="BG533" s="8"/>
      <c r="BH533" s="8"/>
    </row>
    <row r="534" spans="2:60">
      <c r="B534" s="11"/>
      <c r="C534" s="12"/>
      <c r="D534" s="8"/>
      <c r="E534" s="13"/>
      <c r="F534" s="14"/>
      <c r="G534" s="13"/>
      <c r="H534" s="15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2">
        <v>3255</v>
      </c>
      <c r="AK534" s="118">
        <v>410</v>
      </c>
      <c r="AL534" s="119" t="s">
        <v>120</v>
      </c>
      <c r="AM534" s="119" t="s">
        <v>117</v>
      </c>
      <c r="AN534" s="119" t="s">
        <v>114</v>
      </c>
      <c r="AO534" s="119" t="s">
        <v>115</v>
      </c>
      <c r="AP534" s="119" t="s">
        <v>113</v>
      </c>
      <c r="AQ534" s="119" t="s">
        <v>118</v>
      </c>
      <c r="AR534" s="119" t="s">
        <v>124</v>
      </c>
      <c r="AS534" s="119" t="s">
        <v>123</v>
      </c>
      <c r="AT534" s="8"/>
      <c r="AU534" s="8">
        <f t="shared" si="60"/>
        <v>128</v>
      </c>
      <c r="AV534" s="8">
        <f t="shared" si="61"/>
        <v>16</v>
      </c>
      <c r="AW534" s="8">
        <f t="shared" si="62"/>
        <v>2</v>
      </c>
      <c r="AX534" s="8">
        <f t="shared" si="63"/>
        <v>4</v>
      </c>
      <c r="AY534" s="8">
        <f t="shared" si="64"/>
        <v>1</v>
      </c>
      <c r="AZ534" s="8">
        <f t="shared" si="65"/>
        <v>32</v>
      </c>
      <c r="BA534" s="8">
        <f t="shared" si="66"/>
        <v>2048</v>
      </c>
      <c r="BB534" s="8">
        <f t="shared" si="67"/>
        <v>1024</v>
      </c>
      <c r="BC534" s="8">
        <f t="shared" si="68"/>
        <v>3255</v>
      </c>
      <c r="BD534" s="8"/>
      <c r="BE534" s="8"/>
      <c r="BF534" s="8"/>
      <c r="BG534" s="8"/>
      <c r="BH534" s="8"/>
    </row>
    <row r="535" spans="2:60">
      <c r="B535" s="11"/>
      <c r="C535" s="12"/>
      <c r="D535" s="8"/>
      <c r="E535" s="13"/>
      <c r="F535" s="14"/>
      <c r="G535" s="13"/>
      <c r="H535" s="15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2">
        <v>2743</v>
      </c>
      <c r="AK535" s="118">
        <v>411</v>
      </c>
      <c r="AL535" s="119" t="s">
        <v>120</v>
      </c>
      <c r="AM535" s="119" t="s">
        <v>122</v>
      </c>
      <c r="AN535" s="119" t="s">
        <v>114</v>
      </c>
      <c r="AO535" s="119" t="s">
        <v>115</v>
      </c>
      <c r="AP535" s="119" t="s">
        <v>113</v>
      </c>
      <c r="AQ535" s="119" t="s">
        <v>118</v>
      </c>
      <c r="AR535" s="119" t="s">
        <v>124</v>
      </c>
      <c r="AS535" s="119" t="s">
        <v>117</v>
      </c>
      <c r="AT535" s="8"/>
      <c r="AU535" s="8">
        <f t="shared" si="60"/>
        <v>128</v>
      </c>
      <c r="AV535" s="8">
        <f t="shared" si="61"/>
        <v>512</v>
      </c>
      <c r="AW535" s="8">
        <f t="shared" si="62"/>
        <v>2</v>
      </c>
      <c r="AX535" s="8">
        <f t="shared" si="63"/>
        <v>4</v>
      </c>
      <c r="AY535" s="8">
        <f t="shared" si="64"/>
        <v>1</v>
      </c>
      <c r="AZ535" s="8">
        <f t="shared" si="65"/>
        <v>32</v>
      </c>
      <c r="BA535" s="8">
        <f t="shared" si="66"/>
        <v>2048</v>
      </c>
      <c r="BB535" s="8">
        <f t="shared" si="67"/>
        <v>16</v>
      </c>
      <c r="BC535" s="8">
        <f t="shared" si="68"/>
        <v>2743</v>
      </c>
      <c r="BD535" s="8"/>
      <c r="BE535" s="8"/>
      <c r="BF535" s="8"/>
      <c r="BG535" s="8"/>
      <c r="BH535" s="8"/>
    </row>
    <row r="536" spans="2:60">
      <c r="B536" s="11"/>
      <c r="C536" s="12"/>
      <c r="D536" s="8"/>
      <c r="E536" s="13"/>
      <c r="F536" s="14"/>
      <c r="G536" s="13"/>
      <c r="H536" s="15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2">
        <v>1719</v>
      </c>
      <c r="AK536" s="118">
        <v>412</v>
      </c>
      <c r="AL536" s="119" t="s">
        <v>120</v>
      </c>
      <c r="AM536" s="119" t="s">
        <v>122</v>
      </c>
      <c r="AN536" s="119" t="s">
        <v>114</v>
      </c>
      <c r="AO536" s="119" t="s">
        <v>115</v>
      </c>
      <c r="AP536" s="119" t="s">
        <v>113</v>
      </c>
      <c r="AQ536" s="119" t="s">
        <v>118</v>
      </c>
      <c r="AR536" s="119" t="s">
        <v>117</v>
      </c>
      <c r="AS536" s="119" t="s">
        <v>123</v>
      </c>
      <c r="AT536" s="8"/>
      <c r="AU536" s="8">
        <f t="shared" si="60"/>
        <v>128</v>
      </c>
      <c r="AV536" s="8">
        <f t="shared" si="61"/>
        <v>512</v>
      </c>
      <c r="AW536" s="8">
        <f t="shared" si="62"/>
        <v>2</v>
      </c>
      <c r="AX536" s="8">
        <f t="shared" si="63"/>
        <v>4</v>
      </c>
      <c r="AY536" s="8">
        <f t="shared" si="64"/>
        <v>1</v>
      </c>
      <c r="AZ536" s="8">
        <f t="shared" si="65"/>
        <v>32</v>
      </c>
      <c r="BA536" s="8">
        <f t="shared" si="66"/>
        <v>16</v>
      </c>
      <c r="BB536" s="8">
        <f t="shared" si="67"/>
        <v>1024</v>
      </c>
      <c r="BC536" s="8">
        <f t="shared" si="68"/>
        <v>1719</v>
      </c>
      <c r="BD536" s="8"/>
      <c r="BE536" s="8"/>
      <c r="BF536" s="8"/>
      <c r="BG536" s="8"/>
      <c r="BH536" s="8"/>
    </row>
    <row r="537" spans="2:60">
      <c r="B537" s="11"/>
      <c r="C537" s="12"/>
      <c r="D537" s="8"/>
      <c r="E537" s="13"/>
      <c r="F537" s="14"/>
      <c r="G537" s="13"/>
      <c r="H537" s="15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2">
        <v>2487</v>
      </c>
      <c r="AK537" s="118">
        <v>413</v>
      </c>
      <c r="AL537" s="119" t="s">
        <v>120</v>
      </c>
      <c r="AM537" s="119" t="s">
        <v>117</v>
      </c>
      <c r="AN537" s="119" t="s">
        <v>114</v>
      </c>
      <c r="AO537" s="119" t="s">
        <v>115</v>
      </c>
      <c r="AP537" s="119" t="s">
        <v>113</v>
      </c>
      <c r="AQ537" s="119" t="s">
        <v>118</v>
      </c>
      <c r="AR537" s="119" t="s">
        <v>124</v>
      </c>
      <c r="AS537" s="119" t="s">
        <v>121</v>
      </c>
      <c r="AT537" s="8"/>
      <c r="AU537" s="8">
        <f t="shared" si="60"/>
        <v>128</v>
      </c>
      <c r="AV537" s="8">
        <f t="shared" si="61"/>
        <v>16</v>
      </c>
      <c r="AW537" s="8">
        <f t="shared" si="62"/>
        <v>2</v>
      </c>
      <c r="AX537" s="8">
        <f t="shared" si="63"/>
        <v>4</v>
      </c>
      <c r="AY537" s="8">
        <f t="shared" si="64"/>
        <v>1</v>
      </c>
      <c r="AZ537" s="8">
        <f t="shared" si="65"/>
        <v>32</v>
      </c>
      <c r="BA537" s="8">
        <f t="shared" si="66"/>
        <v>2048</v>
      </c>
      <c r="BB537" s="8">
        <f t="shared" si="67"/>
        <v>256</v>
      </c>
      <c r="BC537" s="8">
        <f t="shared" si="68"/>
        <v>2487</v>
      </c>
      <c r="BD537" s="8"/>
      <c r="BE537" s="8"/>
      <c r="BF537" s="8"/>
      <c r="BG537" s="8"/>
      <c r="BH537" s="8"/>
    </row>
    <row r="538" spans="2:60">
      <c r="B538" s="11"/>
      <c r="C538" s="12"/>
      <c r="D538" s="8"/>
      <c r="E538" s="13"/>
      <c r="F538" s="14"/>
      <c r="G538" s="13"/>
      <c r="H538" s="15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2">
        <v>1463</v>
      </c>
      <c r="AK538" s="118">
        <v>414</v>
      </c>
      <c r="AL538" s="119" t="s">
        <v>120</v>
      </c>
      <c r="AM538" s="119" t="s">
        <v>117</v>
      </c>
      <c r="AN538" s="119" t="s">
        <v>114</v>
      </c>
      <c r="AO538" s="119" t="s">
        <v>115</v>
      </c>
      <c r="AP538" s="119" t="s">
        <v>113</v>
      </c>
      <c r="AQ538" s="119" t="s">
        <v>118</v>
      </c>
      <c r="AR538" s="119" t="s">
        <v>121</v>
      </c>
      <c r="AS538" s="119" t="s">
        <v>123</v>
      </c>
      <c r="AT538" s="8"/>
      <c r="AU538" s="8">
        <f t="shared" si="60"/>
        <v>128</v>
      </c>
      <c r="AV538" s="8">
        <f t="shared" si="61"/>
        <v>16</v>
      </c>
      <c r="AW538" s="8">
        <f t="shared" si="62"/>
        <v>2</v>
      </c>
      <c r="AX538" s="8">
        <f t="shared" si="63"/>
        <v>4</v>
      </c>
      <c r="AY538" s="8">
        <f t="shared" si="64"/>
        <v>1</v>
      </c>
      <c r="AZ538" s="8">
        <f t="shared" si="65"/>
        <v>32</v>
      </c>
      <c r="BA538" s="8">
        <f t="shared" si="66"/>
        <v>256</v>
      </c>
      <c r="BB538" s="8">
        <f t="shared" si="67"/>
        <v>1024</v>
      </c>
      <c r="BC538" s="8">
        <f t="shared" si="68"/>
        <v>1463</v>
      </c>
      <c r="BD538" s="8"/>
      <c r="BE538" s="8"/>
      <c r="BF538" s="8"/>
      <c r="BG538" s="8"/>
      <c r="BH538" s="8"/>
    </row>
    <row r="539" spans="2:60">
      <c r="B539" s="11"/>
      <c r="C539" s="12"/>
      <c r="D539" s="8"/>
      <c r="E539" s="13"/>
      <c r="F539" s="14"/>
      <c r="G539" s="13"/>
      <c r="H539" s="15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2">
        <v>951</v>
      </c>
      <c r="AK539" s="118">
        <v>415</v>
      </c>
      <c r="AL539" s="119" t="s">
        <v>120</v>
      </c>
      <c r="AM539" s="119" t="s">
        <v>122</v>
      </c>
      <c r="AN539" s="119" t="s">
        <v>114</v>
      </c>
      <c r="AO539" s="119" t="s">
        <v>115</v>
      </c>
      <c r="AP539" s="119" t="s">
        <v>113</v>
      </c>
      <c r="AQ539" s="119" t="s">
        <v>118</v>
      </c>
      <c r="AR539" s="119" t="s">
        <v>117</v>
      </c>
      <c r="AS539" s="119" t="s">
        <v>121</v>
      </c>
      <c r="AT539" s="8"/>
      <c r="AU539" s="8">
        <f t="shared" si="60"/>
        <v>128</v>
      </c>
      <c r="AV539" s="8">
        <f t="shared" si="61"/>
        <v>512</v>
      </c>
      <c r="AW539" s="8">
        <f t="shared" si="62"/>
        <v>2</v>
      </c>
      <c r="AX539" s="8">
        <f t="shared" si="63"/>
        <v>4</v>
      </c>
      <c r="AY539" s="8">
        <f t="shared" si="64"/>
        <v>1</v>
      </c>
      <c r="AZ539" s="8">
        <f t="shared" si="65"/>
        <v>32</v>
      </c>
      <c r="BA539" s="8">
        <f t="shared" si="66"/>
        <v>16</v>
      </c>
      <c r="BB539" s="8">
        <f t="shared" si="67"/>
        <v>256</v>
      </c>
      <c r="BC539" s="8">
        <f t="shared" si="68"/>
        <v>951</v>
      </c>
      <c r="BD539" s="8"/>
      <c r="BE539" s="8"/>
      <c r="BF539" s="8"/>
      <c r="BG539" s="8"/>
      <c r="BH539" s="8"/>
    </row>
    <row r="540" spans="2:60">
      <c r="B540" s="11"/>
      <c r="C540" s="12"/>
      <c r="D540" s="8"/>
      <c r="E540" s="13"/>
      <c r="F540" s="14"/>
      <c r="G540" s="13"/>
      <c r="H540" s="15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2">
        <v>3191</v>
      </c>
      <c r="AK540" s="118">
        <v>416</v>
      </c>
      <c r="AL540" s="119" t="s">
        <v>117</v>
      </c>
      <c r="AM540" s="119" t="s">
        <v>119</v>
      </c>
      <c r="AN540" s="119" t="s">
        <v>114</v>
      </c>
      <c r="AO540" s="119" t="s">
        <v>115</v>
      </c>
      <c r="AP540" s="119" t="s">
        <v>113</v>
      </c>
      <c r="AQ540" s="119" t="s">
        <v>118</v>
      </c>
      <c r="AR540" s="119" t="s">
        <v>124</v>
      </c>
      <c r="AS540" s="119" t="s">
        <v>123</v>
      </c>
      <c r="AT540" s="8"/>
      <c r="AU540" s="8">
        <f t="shared" si="60"/>
        <v>16</v>
      </c>
      <c r="AV540" s="8">
        <f t="shared" si="61"/>
        <v>64</v>
      </c>
      <c r="AW540" s="8">
        <f t="shared" si="62"/>
        <v>2</v>
      </c>
      <c r="AX540" s="8">
        <f t="shared" si="63"/>
        <v>4</v>
      </c>
      <c r="AY540" s="8">
        <f t="shared" si="64"/>
        <v>1</v>
      </c>
      <c r="AZ540" s="8">
        <f t="shared" si="65"/>
        <v>32</v>
      </c>
      <c r="BA540" s="8">
        <f t="shared" si="66"/>
        <v>2048</v>
      </c>
      <c r="BB540" s="8">
        <f t="shared" si="67"/>
        <v>1024</v>
      </c>
      <c r="BC540" s="8">
        <f t="shared" si="68"/>
        <v>3191</v>
      </c>
      <c r="BD540" s="8"/>
      <c r="BE540" s="8"/>
      <c r="BF540" s="8"/>
      <c r="BG540" s="8"/>
      <c r="BH540" s="8"/>
    </row>
    <row r="541" spans="2:60">
      <c r="B541" s="11"/>
      <c r="C541" s="12"/>
      <c r="D541" s="8"/>
      <c r="E541" s="13"/>
      <c r="F541" s="14"/>
      <c r="G541" s="13"/>
      <c r="H541" s="15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2">
        <v>2679</v>
      </c>
      <c r="AK541" s="118">
        <v>417</v>
      </c>
      <c r="AL541" s="119" t="s">
        <v>117</v>
      </c>
      <c r="AM541" s="119" t="s">
        <v>119</v>
      </c>
      <c r="AN541" s="119" t="s">
        <v>114</v>
      </c>
      <c r="AO541" s="119" t="s">
        <v>115</v>
      </c>
      <c r="AP541" s="119" t="s">
        <v>113</v>
      </c>
      <c r="AQ541" s="119" t="s">
        <v>118</v>
      </c>
      <c r="AR541" s="119" t="s">
        <v>124</v>
      </c>
      <c r="AS541" s="119" t="s">
        <v>122</v>
      </c>
      <c r="AT541" s="8"/>
      <c r="AU541" s="8">
        <f t="shared" si="60"/>
        <v>16</v>
      </c>
      <c r="AV541" s="8">
        <f t="shared" si="61"/>
        <v>64</v>
      </c>
      <c r="AW541" s="8">
        <f t="shared" si="62"/>
        <v>2</v>
      </c>
      <c r="AX541" s="8">
        <f t="shared" si="63"/>
        <v>4</v>
      </c>
      <c r="AY541" s="8">
        <f t="shared" si="64"/>
        <v>1</v>
      </c>
      <c r="AZ541" s="8">
        <f t="shared" si="65"/>
        <v>32</v>
      </c>
      <c r="BA541" s="8">
        <f t="shared" si="66"/>
        <v>2048</v>
      </c>
      <c r="BB541" s="8">
        <f t="shared" si="67"/>
        <v>512</v>
      </c>
      <c r="BC541" s="8">
        <f t="shared" si="68"/>
        <v>2679</v>
      </c>
      <c r="BD541" s="8"/>
      <c r="BE541" s="8"/>
      <c r="BF541" s="8"/>
      <c r="BG541" s="8"/>
      <c r="BH541" s="8"/>
    </row>
    <row r="542" spans="2:60">
      <c r="B542" s="11"/>
      <c r="C542" s="12"/>
      <c r="D542" s="8"/>
      <c r="E542" s="13"/>
      <c r="F542" s="14"/>
      <c r="G542" s="13"/>
      <c r="H542" s="15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2">
        <v>1655</v>
      </c>
      <c r="AK542" s="118">
        <v>418</v>
      </c>
      <c r="AL542" s="119" t="s">
        <v>117</v>
      </c>
      <c r="AM542" s="119" t="s">
        <v>119</v>
      </c>
      <c r="AN542" s="119" t="s">
        <v>114</v>
      </c>
      <c r="AO542" s="119" t="s">
        <v>115</v>
      </c>
      <c r="AP542" s="119" t="s">
        <v>113</v>
      </c>
      <c r="AQ542" s="119" t="s">
        <v>118</v>
      </c>
      <c r="AR542" s="119" t="s">
        <v>122</v>
      </c>
      <c r="AS542" s="119" t="s">
        <v>123</v>
      </c>
      <c r="AT542" s="8"/>
      <c r="AU542" s="8">
        <f t="shared" si="60"/>
        <v>16</v>
      </c>
      <c r="AV542" s="8">
        <f t="shared" si="61"/>
        <v>64</v>
      </c>
      <c r="AW542" s="8">
        <f t="shared" si="62"/>
        <v>2</v>
      </c>
      <c r="AX542" s="8">
        <f t="shared" si="63"/>
        <v>4</v>
      </c>
      <c r="AY542" s="8">
        <f t="shared" si="64"/>
        <v>1</v>
      </c>
      <c r="AZ542" s="8">
        <f t="shared" si="65"/>
        <v>32</v>
      </c>
      <c r="BA542" s="8">
        <f t="shared" si="66"/>
        <v>512</v>
      </c>
      <c r="BB542" s="8">
        <f t="shared" si="67"/>
        <v>1024</v>
      </c>
      <c r="BC542" s="8">
        <f t="shared" si="68"/>
        <v>1655</v>
      </c>
      <c r="BD542" s="8"/>
      <c r="BE542" s="8"/>
      <c r="BF542" s="8"/>
      <c r="BG542" s="8"/>
      <c r="BH542" s="8"/>
    </row>
    <row r="543" spans="2:60">
      <c r="B543" s="11"/>
      <c r="C543" s="12"/>
      <c r="D543" s="8"/>
      <c r="E543" s="13"/>
      <c r="F543" s="14"/>
      <c r="G543" s="13"/>
      <c r="H543" s="15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2">
        <v>2423</v>
      </c>
      <c r="AK543" s="118">
        <v>419</v>
      </c>
      <c r="AL543" s="119" t="s">
        <v>117</v>
      </c>
      <c r="AM543" s="119" t="s">
        <v>119</v>
      </c>
      <c r="AN543" s="119" t="s">
        <v>114</v>
      </c>
      <c r="AO543" s="119" t="s">
        <v>115</v>
      </c>
      <c r="AP543" s="119" t="s">
        <v>113</v>
      </c>
      <c r="AQ543" s="119" t="s">
        <v>118</v>
      </c>
      <c r="AR543" s="119" t="s">
        <v>124</v>
      </c>
      <c r="AS543" s="119" t="s">
        <v>121</v>
      </c>
      <c r="AT543" s="8"/>
      <c r="AU543" s="8">
        <f t="shared" si="60"/>
        <v>16</v>
      </c>
      <c r="AV543" s="8">
        <f t="shared" si="61"/>
        <v>64</v>
      </c>
      <c r="AW543" s="8">
        <f t="shared" si="62"/>
        <v>2</v>
      </c>
      <c r="AX543" s="8">
        <f t="shared" si="63"/>
        <v>4</v>
      </c>
      <c r="AY543" s="8">
        <f t="shared" si="64"/>
        <v>1</v>
      </c>
      <c r="AZ543" s="8">
        <f t="shared" si="65"/>
        <v>32</v>
      </c>
      <c r="BA543" s="8">
        <f t="shared" si="66"/>
        <v>2048</v>
      </c>
      <c r="BB543" s="8">
        <f t="shared" si="67"/>
        <v>256</v>
      </c>
      <c r="BC543" s="8">
        <f t="shared" si="68"/>
        <v>2423</v>
      </c>
      <c r="BD543" s="8"/>
      <c r="BE543" s="8"/>
      <c r="BF543" s="8"/>
      <c r="BG543" s="8"/>
      <c r="BH543" s="8"/>
    </row>
    <row r="544" spans="2:60">
      <c r="B544" s="11"/>
      <c r="C544" s="12"/>
      <c r="D544" s="8"/>
      <c r="E544" s="13"/>
      <c r="F544" s="14"/>
      <c r="G544" s="13"/>
      <c r="H544" s="15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2">
        <v>1399</v>
      </c>
      <c r="AK544" s="118">
        <v>420</v>
      </c>
      <c r="AL544" s="119" t="s">
        <v>117</v>
      </c>
      <c r="AM544" s="119" t="s">
        <v>119</v>
      </c>
      <c r="AN544" s="119" t="s">
        <v>114</v>
      </c>
      <c r="AO544" s="119" t="s">
        <v>115</v>
      </c>
      <c r="AP544" s="119" t="s">
        <v>113</v>
      </c>
      <c r="AQ544" s="119" t="s">
        <v>118</v>
      </c>
      <c r="AR544" s="119" t="s">
        <v>121</v>
      </c>
      <c r="AS544" s="119" t="s">
        <v>123</v>
      </c>
      <c r="AT544" s="8"/>
      <c r="AU544" s="8">
        <f t="shared" si="60"/>
        <v>16</v>
      </c>
      <c r="AV544" s="8">
        <f t="shared" si="61"/>
        <v>64</v>
      </c>
      <c r="AW544" s="8">
        <f t="shared" si="62"/>
        <v>2</v>
      </c>
      <c r="AX544" s="8">
        <f t="shared" si="63"/>
        <v>4</v>
      </c>
      <c r="AY544" s="8">
        <f t="shared" si="64"/>
        <v>1</v>
      </c>
      <c r="AZ544" s="8">
        <f t="shared" si="65"/>
        <v>32</v>
      </c>
      <c r="BA544" s="8">
        <f t="shared" si="66"/>
        <v>256</v>
      </c>
      <c r="BB544" s="8">
        <f t="shared" si="67"/>
        <v>1024</v>
      </c>
      <c r="BC544" s="8">
        <f t="shared" si="68"/>
        <v>1399</v>
      </c>
      <c r="BD544" s="8"/>
      <c r="BE544" s="8"/>
      <c r="BF544" s="8"/>
      <c r="BG544" s="8"/>
      <c r="BH544" s="8"/>
    </row>
    <row r="545" spans="2:60">
      <c r="B545" s="11"/>
      <c r="C545" s="12"/>
      <c r="D545" s="8"/>
      <c r="E545" s="13"/>
      <c r="F545" s="14"/>
      <c r="G545" s="13"/>
      <c r="H545" s="15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2">
        <v>887</v>
      </c>
      <c r="AK545" s="118">
        <v>421</v>
      </c>
      <c r="AL545" s="119" t="s">
        <v>117</v>
      </c>
      <c r="AM545" s="119" t="s">
        <v>119</v>
      </c>
      <c r="AN545" s="119" t="s">
        <v>114</v>
      </c>
      <c r="AO545" s="119" t="s">
        <v>115</v>
      </c>
      <c r="AP545" s="119" t="s">
        <v>113</v>
      </c>
      <c r="AQ545" s="119" t="s">
        <v>118</v>
      </c>
      <c r="AR545" s="119" t="s">
        <v>121</v>
      </c>
      <c r="AS545" s="119" t="s">
        <v>122</v>
      </c>
      <c r="AT545" s="8"/>
      <c r="AU545" s="8">
        <f t="shared" si="60"/>
        <v>16</v>
      </c>
      <c r="AV545" s="8">
        <f t="shared" si="61"/>
        <v>64</v>
      </c>
      <c r="AW545" s="8">
        <f t="shared" si="62"/>
        <v>2</v>
      </c>
      <c r="AX545" s="8">
        <f t="shared" si="63"/>
        <v>4</v>
      </c>
      <c r="AY545" s="8">
        <f t="shared" si="64"/>
        <v>1</v>
      </c>
      <c r="AZ545" s="8">
        <f t="shared" si="65"/>
        <v>32</v>
      </c>
      <c r="BA545" s="8">
        <f t="shared" si="66"/>
        <v>256</v>
      </c>
      <c r="BB545" s="8">
        <f t="shared" si="67"/>
        <v>512</v>
      </c>
      <c r="BC545" s="8">
        <f t="shared" si="68"/>
        <v>887</v>
      </c>
      <c r="BD545" s="8"/>
      <c r="BE545" s="8"/>
      <c r="BF545" s="8"/>
      <c r="BG545" s="8"/>
      <c r="BH545" s="8"/>
    </row>
    <row r="546" spans="2:60">
      <c r="B546" s="11"/>
      <c r="C546" s="12"/>
      <c r="D546" s="8"/>
      <c r="E546" s="13"/>
      <c r="F546" s="14"/>
      <c r="G546" s="13"/>
      <c r="H546" s="1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2">
        <v>2295</v>
      </c>
      <c r="AK546" s="118">
        <v>422</v>
      </c>
      <c r="AL546" s="119" t="s">
        <v>120</v>
      </c>
      <c r="AM546" s="119" t="s">
        <v>119</v>
      </c>
      <c r="AN546" s="119" t="s">
        <v>114</v>
      </c>
      <c r="AO546" s="119" t="s">
        <v>115</v>
      </c>
      <c r="AP546" s="119" t="s">
        <v>113</v>
      </c>
      <c r="AQ546" s="119" t="s">
        <v>118</v>
      </c>
      <c r="AR546" s="119" t="s">
        <v>124</v>
      </c>
      <c r="AS546" s="119" t="s">
        <v>117</v>
      </c>
      <c r="AT546" s="8"/>
      <c r="AU546" s="8">
        <f t="shared" si="60"/>
        <v>128</v>
      </c>
      <c r="AV546" s="8">
        <f t="shared" si="61"/>
        <v>64</v>
      </c>
      <c r="AW546" s="8">
        <f t="shared" si="62"/>
        <v>2</v>
      </c>
      <c r="AX546" s="8">
        <f t="shared" si="63"/>
        <v>4</v>
      </c>
      <c r="AY546" s="8">
        <f t="shared" si="64"/>
        <v>1</v>
      </c>
      <c r="AZ546" s="8">
        <f t="shared" si="65"/>
        <v>32</v>
      </c>
      <c r="BA546" s="8">
        <f t="shared" si="66"/>
        <v>2048</v>
      </c>
      <c r="BB546" s="8">
        <f t="shared" si="67"/>
        <v>16</v>
      </c>
      <c r="BC546" s="8">
        <f t="shared" si="68"/>
        <v>2295</v>
      </c>
      <c r="BD546" s="8"/>
      <c r="BE546" s="8"/>
      <c r="BF546" s="8"/>
      <c r="BG546" s="8"/>
      <c r="BH546" s="8"/>
    </row>
    <row r="547" spans="2:60">
      <c r="B547" s="11"/>
      <c r="C547" s="12"/>
      <c r="D547" s="8"/>
      <c r="E547" s="13"/>
      <c r="F547" s="14"/>
      <c r="G547" s="13"/>
      <c r="H547" s="15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2">
        <v>1271</v>
      </c>
      <c r="AK547" s="118">
        <v>423</v>
      </c>
      <c r="AL547" s="119" t="s">
        <v>120</v>
      </c>
      <c r="AM547" s="119" t="s">
        <v>119</v>
      </c>
      <c r="AN547" s="119" t="s">
        <v>114</v>
      </c>
      <c r="AO547" s="119" t="s">
        <v>115</v>
      </c>
      <c r="AP547" s="119" t="s">
        <v>113</v>
      </c>
      <c r="AQ547" s="119" t="s">
        <v>118</v>
      </c>
      <c r="AR547" s="119" t="s">
        <v>117</v>
      </c>
      <c r="AS547" s="119" t="s">
        <v>123</v>
      </c>
      <c r="AT547" s="8"/>
      <c r="AU547" s="8">
        <f t="shared" si="60"/>
        <v>128</v>
      </c>
      <c r="AV547" s="8">
        <f t="shared" si="61"/>
        <v>64</v>
      </c>
      <c r="AW547" s="8">
        <f t="shared" si="62"/>
        <v>2</v>
      </c>
      <c r="AX547" s="8">
        <f t="shared" si="63"/>
        <v>4</v>
      </c>
      <c r="AY547" s="8">
        <f t="shared" si="64"/>
        <v>1</v>
      </c>
      <c r="AZ547" s="8">
        <f t="shared" si="65"/>
        <v>32</v>
      </c>
      <c r="BA547" s="8">
        <f t="shared" si="66"/>
        <v>16</v>
      </c>
      <c r="BB547" s="8">
        <f t="shared" si="67"/>
        <v>1024</v>
      </c>
      <c r="BC547" s="8">
        <f t="shared" si="68"/>
        <v>1271</v>
      </c>
      <c r="BD547" s="8"/>
      <c r="BE547" s="8"/>
      <c r="BF547" s="8"/>
      <c r="BG547" s="8"/>
      <c r="BH547" s="8"/>
    </row>
    <row r="548" spans="2:60">
      <c r="B548" s="11"/>
      <c r="C548" s="12"/>
      <c r="D548" s="8"/>
      <c r="E548" s="13"/>
      <c r="F548" s="14"/>
      <c r="G548" s="13"/>
      <c r="H548" s="15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2">
        <v>759</v>
      </c>
      <c r="AK548" s="118">
        <v>424</v>
      </c>
      <c r="AL548" s="119" t="s">
        <v>120</v>
      </c>
      <c r="AM548" s="119" t="s">
        <v>119</v>
      </c>
      <c r="AN548" s="119" t="s">
        <v>114</v>
      </c>
      <c r="AO548" s="119" t="s">
        <v>115</v>
      </c>
      <c r="AP548" s="119" t="s">
        <v>113</v>
      </c>
      <c r="AQ548" s="119" t="s">
        <v>118</v>
      </c>
      <c r="AR548" s="119" t="s">
        <v>117</v>
      </c>
      <c r="AS548" s="119" t="s">
        <v>122</v>
      </c>
      <c r="AT548" s="8"/>
      <c r="AU548" s="8">
        <f t="shared" si="60"/>
        <v>128</v>
      </c>
      <c r="AV548" s="8">
        <f t="shared" si="61"/>
        <v>64</v>
      </c>
      <c r="AW548" s="8">
        <f t="shared" si="62"/>
        <v>2</v>
      </c>
      <c r="AX548" s="8">
        <f t="shared" si="63"/>
        <v>4</v>
      </c>
      <c r="AY548" s="8">
        <f t="shared" si="64"/>
        <v>1</v>
      </c>
      <c r="AZ548" s="8">
        <f t="shared" si="65"/>
        <v>32</v>
      </c>
      <c r="BA548" s="8">
        <f t="shared" si="66"/>
        <v>16</v>
      </c>
      <c r="BB548" s="8">
        <f t="shared" si="67"/>
        <v>512</v>
      </c>
      <c r="BC548" s="8">
        <f t="shared" si="68"/>
        <v>759</v>
      </c>
      <c r="BD548" s="8"/>
      <c r="BE548" s="8"/>
      <c r="BF548" s="8"/>
      <c r="BG548" s="8"/>
      <c r="BH548" s="8"/>
    </row>
    <row r="549" spans="2:60">
      <c r="B549" s="11"/>
      <c r="C549" s="12"/>
      <c r="D549" s="8"/>
      <c r="E549" s="13"/>
      <c r="F549" s="14"/>
      <c r="G549" s="13"/>
      <c r="H549" s="15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2">
        <v>503</v>
      </c>
      <c r="AK549" s="118">
        <v>425</v>
      </c>
      <c r="AL549" s="119" t="s">
        <v>120</v>
      </c>
      <c r="AM549" s="119" t="s">
        <v>119</v>
      </c>
      <c r="AN549" s="119" t="s">
        <v>114</v>
      </c>
      <c r="AO549" s="119" t="s">
        <v>115</v>
      </c>
      <c r="AP549" s="119" t="s">
        <v>113</v>
      </c>
      <c r="AQ549" s="119" t="s">
        <v>118</v>
      </c>
      <c r="AR549" s="119" t="s">
        <v>117</v>
      </c>
      <c r="AS549" s="119" t="s">
        <v>121</v>
      </c>
      <c r="AT549" s="8"/>
      <c r="AU549" s="8">
        <f t="shared" si="60"/>
        <v>128</v>
      </c>
      <c r="AV549" s="8">
        <f t="shared" si="61"/>
        <v>64</v>
      </c>
      <c r="AW549" s="8">
        <f t="shared" si="62"/>
        <v>2</v>
      </c>
      <c r="AX549" s="8">
        <f t="shared" si="63"/>
        <v>4</v>
      </c>
      <c r="AY549" s="8">
        <f t="shared" si="64"/>
        <v>1</v>
      </c>
      <c r="AZ549" s="8">
        <f t="shared" si="65"/>
        <v>32</v>
      </c>
      <c r="BA549" s="8">
        <f t="shared" si="66"/>
        <v>16</v>
      </c>
      <c r="BB549" s="8">
        <f t="shared" si="67"/>
        <v>256</v>
      </c>
      <c r="BC549" s="8">
        <f t="shared" si="68"/>
        <v>503</v>
      </c>
      <c r="BD549" s="8"/>
      <c r="BE549" s="8"/>
      <c r="BF549" s="8"/>
      <c r="BG549" s="8"/>
      <c r="BH549" s="8"/>
    </row>
    <row r="550" spans="2:60">
      <c r="B550" s="11"/>
      <c r="C550" s="12"/>
      <c r="D550" s="8"/>
      <c r="E550" s="13"/>
      <c r="F550" s="14"/>
      <c r="G550" s="13"/>
      <c r="H550" s="15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2">
        <v>3855</v>
      </c>
      <c r="AK550" s="118">
        <v>426</v>
      </c>
      <c r="AL550" s="119" t="s">
        <v>121</v>
      </c>
      <c r="AM550" s="119" t="s">
        <v>122</v>
      </c>
      <c r="AN550" s="119" t="s">
        <v>114</v>
      </c>
      <c r="AO550" s="119" t="s">
        <v>115</v>
      </c>
      <c r="AP550" s="119" t="s">
        <v>113</v>
      </c>
      <c r="AQ550" s="119" t="s">
        <v>116</v>
      </c>
      <c r="AR550" s="119" t="s">
        <v>124</v>
      </c>
      <c r="AS550" s="119" t="s">
        <v>123</v>
      </c>
      <c r="AT550" s="8"/>
      <c r="AU550" s="8">
        <f t="shared" si="60"/>
        <v>256</v>
      </c>
      <c r="AV550" s="8">
        <f t="shared" si="61"/>
        <v>512</v>
      </c>
      <c r="AW550" s="8">
        <f t="shared" si="62"/>
        <v>2</v>
      </c>
      <c r="AX550" s="8">
        <f t="shared" si="63"/>
        <v>4</v>
      </c>
      <c r="AY550" s="8">
        <f t="shared" si="64"/>
        <v>1</v>
      </c>
      <c r="AZ550" s="8">
        <f t="shared" si="65"/>
        <v>8</v>
      </c>
      <c r="BA550" s="8">
        <f t="shared" si="66"/>
        <v>2048</v>
      </c>
      <c r="BB550" s="8">
        <f t="shared" si="67"/>
        <v>1024</v>
      </c>
      <c r="BC550" s="8">
        <f t="shared" si="68"/>
        <v>3855</v>
      </c>
      <c r="BD550" s="8"/>
      <c r="BE550" s="8"/>
      <c r="BF550" s="8"/>
      <c r="BG550" s="8"/>
      <c r="BH550" s="8"/>
    </row>
    <row r="551" spans="2:60">
      <c r="B551" s="11"/>
      <c r="C551" s="12"/>
      <c r="D551" s="8"/>
      <c r="E551" s="13"/>
      <c r="F551" s="14"/>
      <c r="G551" s="13"/>
      <c r="H551" s="15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2">
        <v>3727</v>
      </c>
      <c r="AK551" s="118">
        <v>427</v>
      </c>
      <c r="AL551" s="119" t="s">
        <v>120</v>
      </c>
      <c r="AM551" s="119" t="s">
        <v>122</v>
      </c>
      <c r="AN551" s="119" t="s">
        <v>114</v>
      </c>
      <c r="AO551" s="119" t="s">
        <v>115</v>
      </c>
      <c r="AP551" s="119" t="s">
        <v>113</v>
      </c>
      <c r="AQ551" s="119" t="s">
        <v>116</v>
      </c>
      <c r="AR551" s="119" t="s">
        <v>124</v>
      </c>
      <c r="AS551" s="119" t="s">
        <v>123</v>
      </c>
      <c r="AT551" s="8"/>
      <c r="AU551" s="8">
        <f t="shared" si="60"/>
        <v>128</v>
      </c>
      <c r="AV551" s="8">
        <f t="shared" si="61"/>
        <v>512</v>
      </c>
      <c r="AW551" s="8">
        <f t="shared" si="62"/>
        <v>2</v>
      </c>
      <c r="AX551" s="8">
        <f t="shared" si="63"/>
        <v>4</v>
      </c>
      <c r="AY551" s="8">
        <f t="shared" si="64"/>
        <v>1</v>
      </c>
      <c r="AZ551" s="8">
        <f t="shared" si="65"/>
        <v>8</v>
      </c>
      <c r="BA551" s="8">
        <f t="shared" si="66"/>
        <v>2048</v>
      </c>
      <c r="BB551" s="8">
        <f t="shared" si="67"/>
        <v>1024</v>
      </c>
      <c r="BC551" s="8">
        <f t="shared" si="68"/>
        <v>3727</v>
      </c>
      <c r="BD551" s="8"/>
      <c r="BE551" s="8"/>
      <c r="BF551" s="8"/>
      <c r="BG551" s="8"/>
      <c r="BH551" s="8"/>
    </row>
    <row r="552" spans="2:60">
      <c r="B552" s="11"/>
      <c r="C552" s="12"/>
      <c r="D552" s="8"/>
      <c r="E552" s="13"/>
      <c r="F552" s="14"/>
      <c r="G552" s="13"/>
      <c r="H552" s="15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2">
        <v>3471</v>
      </c>
      <c r="AK552" s="118">
        <v>428</v>
      </c>
      <c r="AL552" s="119" t="s">
        <v>120</v>
      </c>
      <c r="AM552" s="119" t="s">
        <v>121</v>
      </c>
      <c r="AN552" s="119" t="s">
        <v>114</v>
      </c>
      <c r="AO552" s="119" t="s">
        <v>115</v>
      </c>
      <c r="AP552" s="119" t="s">
        <v>113</v>
      </c>
      <c r="AQ552" s="119" t="s">
        <v>116</v>
      </c>
      <c r="AR552" s="119" t="s">
        <v>124</v>
      </c>
      <c r="AS552" s="119" t="s">
        <v>123</v>
      </c>
      <c r="AT552" s="8"/>
      <c r="AU552" s="8">
        <f t="shared" si="60"/>
        <v>128</v>
      </c>
      <c r="AV552" s="8">
        <f t="shared" si="61"/>
        <v>256</v>
      </c>
      <c r="AW552" s="8">
        <f t="shared" si="62"/>
        <v>2</v>
      </c>
      <c r="AX552" s="8">
        <f t="shared" si="63"/>
        <v>4</v>
      </c>
      <c r="AY552" s="8">
        <f t="shared" si="64"/>
        <v>1</v>
      </c>
      <c r="AZ552" s="8">
        <f t="shared" si="65"/>
        <v>8</v>
      </c>
      <c r="BA552" s="8">
        <f t="shared" si="66"/>
        <v>2048</v>
      </c>
      <c r="BB552" s="8">
        <f t="shared" si="67"/>
        <v>1024</v>
      </c>
      <c r="BC552" s="8">
        <f t="shared" si="68"/>
        <v>3471</v>
      </c>
      <c r="BD552" s="8"/>
      <c r="BE552" s="8"/>
      <c r="BF552" s="8"/>
      <c r="BG552" s="8"/>
      <c r="BH552" s="8"/>
    </row>
    <row r="553" spans="2:60">
      <c r="B553" s="11"/>
      <c r="C553" s="12"/>
      <c r="D553" s="8"/>
      <c r="E553" s="13"/>
      <c r="F553" s="14"/>
      <c r="G553" s="13"/>
      <c r="H553" s="15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2">
        <v>2959</v>
      </c>
      <c r="AK553" s="118">
        <v>429</v>
      </c>
      <c r="AL553" s="119" t="s">
        <v>120</v>
      </c>
      <c r="AM553" s="119" t="s">
        <v>122</v>
      </c>
      <c r="AN553" s="119" t="s">
        <v>114</v>
      </c>
      <c r="AO553" s="119" t="s">
        <v>115</v>
      </c>
      <c r="AP553" s="119" t="s">
        <v>113</v>
      </c>
      <c r="AQ553" s="119" t="s">
        <v>116</v>
      </c>
      <c r="AR553" s="119" t="s">
        <v>124</v>
      </c>
      <c r="AS553" s="119" t="s">
        <v>121</v>
      </c>
      <c r="AT553" s="8"/>
      <c r="AU553" s="8">
        <f t="shared" si="60"/>
        <v>128</v>
      </c>
      <c r="AV553" s="8">
        <f t="shared" si="61"/>
        <v>512</v>
      </c>
      <c r="AW553" s="8">
        <f t="shared" si="62"/>
        <v>2</v>
      </c>
      <c r="AX553" s="8">
        <f t="shared" si="63"/>
        <v>4</v>
      </c>
      <c r="AY553" s="8">
        <f t="shared" si="64"/>
        <v>1</v>
      </c>
      <c r="AZ553" s="8">
        <f t="shared" si="65"/>
        <v>8</v>
      </c>
      <c r="BA553" s="8">
        <f t="shared" si="66"/>
        <v>2048</v>
      </c>
      <c r="BB553" s="8">
        <f t="shared" si="67"/>
        <v>256</v>
      </c>
      <c r="BC553" s="8">
        <f t="shared" si="68"/>
        <v>2959</v>
      </c>
      <c r="BD553" s="8"/>
      <c r="BE553" s="8"/>
      <c r="BF553" s="8"/>
      <c r="BG553" s="8"/>
      <c r="BH553" s="8"/>
    </row>
    <row r="554" spans="2:60">
      <c r="B554" s="11"/>
      <c r="C554" s="12"/>
      <c r="D554" s="8"/>
      <c r="E554" s="13"/>
      <c r="F554" s="14"/>
      <c r="G554" s="13"/>
      <c r="H554" s="15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2">
        <v>1935</v>
      </c>
      <c r="AK554" s="118">
        <v>430</v>
      </c>
      <c r="AL554" s="119" t="s">
        <v>120</v>
      </c>
      <c r="AM554" s="119" t="s">
        <v>122</v>
      </c>
      <c r="AN554" s="119" t="s">
        <v>114</v>
      </c>
      <c r="AO554" s="119" t="s">
        <v>115</v>
      </c>
      <c r="AP554" s="119" t="s">
        <v>113</v>
      </c>
      <c r="AQ554" s="119" t="s">
        <v>116</v>
      </c>
      <c r="AR554" s="119" t="s">
        <v>121</v>
      </c>
      <c r="AS554" s="119" t="s">
        <v>123</v>
      </c>
      <c r="AT554" s="8"/>
      <c r="AU554" s="8">
        <f t="shared" si="60"/>
        <v>128</v>
      </c>
      <c r="AV554" s="8">
        <f t="shared" si="61"/>
        <v>512</v>
      </c>
      <c r="AW554" s="8">
        <f t="shared" si="62"/>
        <v>2</v>
      </c>
      <c r="AX554" s="8">
        <f t="shared" si="63"/>
        <v>4</v>
      </c>
      <c r="AY554" s="8">
        <f t="shared" si="64"/>
        <v>1</v>
      </c>
      <c r="AZ554" s="8">
        <f t="shared" si="65"/>
        <v>8</v>
      </c>
      <c r="BA554" s="8">
        <f t="shared" si="66"/>
        <v>256</v>
      </c>
      <c r="BB554" s="8">
        <f t="shared" si="67"/>
        <v>1024</v>
      </c>
      <c r="BC554" s="8">
        <f t="shared" si="68"/>
        <v>1935</v>
      </c>
      <c r="BD554" s="8"/>
      <c r="BE554" s="8"/>
      <c r="BF554" s="8"/>
      <c r="BG554" s="8"/>
      <c r="BH554" s="8"/>
    </row>
    <row r="555" spans="2:60">
      <c r="B555" s="11"/>
      <c r="C555" s="12"/>
      <c r="D555" s="8"/>
      <c r="E555" s="13"/>
      <c r="F555" s="14"/>
      <c r="G555" s="13"/>
      <c r="H555" s="15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2">
        <v>3663</v>
      </c>
      <c r="AK555" s="118">
        <v>431</v>
      </c>
      <c r="AL555" s="119" t="s">
        <v>115</v>
      </c>
      <c r="AM555" s="119" t="s">
        <v>122</v>
      </c>
      <c r="AN555" s="119" t="s">
        <v>114</v>
      </c>
      <c r="AO555" s="119" t="s">
        <v>116</v>
      </c>
      <c r="AP555" s="119" t="s">
        <v>113</v>
      </c>
      <c r="AQ555" s="119" t="s">
        <v>119</v>
      </c>
      <c r="AR555" s="119" t="s">
        <v>124</v>
      </c>
      <c r="AS555" s="119" t="s">
        <v>123</v>
      </c>
      <c r="AT555" s="8"/>
      <c r="AU555" s="8">
        <f t="shared" si="60"/>
        <v>4</v>
      </c>
      <c r="AV555" s="8">
        <f t="shared" si="61"/>
        <v>512</v>
      </c>
      <c r="AW555" s="8">
        <f t="shared" si="62"/>
        <v>2</v>
      </c>
      <c r="AX555" s="8">
        <f t="shared" si="63"/>
        <v>8</v>
      </c>
      <c r="AY555" s="8">
        <f t="shared" si="64"/>
        <v>1</v>
      </c>
      <c r="AZ555" s="8">
        <f t="shared" si="65"/>
        <v>64</v>
      </c>
      <c r="BA555" s="8">
        <f t="shared" si="66"/>
        <v>2048</v>
      </c>
      <c r="BB555" s="8">
        <f t="shared" si="67"/>
        <v>1024</v>
      </c>
      <c r="BC555" s="8">
        <f t="shared" si="68"/>
        <v>3663</v>
      </c>
      <c r="BD555" s="8"/>
      <c r="BE555" s="8"/>
      <c r="BF555" s="8"/>
      <c r="BG555" s="8"/>
      <c r="BH555" s="8"/>
    </row>
    <row r="556" spans="2:60">
      <c r="B556" s="11"/>
      <c r="C556" s="12"/>
      <c r="D556" s="8"/>
      <c r="E556" s="13"/>
      <c r="F556" s="14"/>
      <c r="G556" s="13"/>
      <c r="H556" s="15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2">
        <v>3407</v>
      </c>
      <c r="AK556" s="118">
        <v>432</v>
      </c>
      <c r="AL556" s="119" t="s">
        <v>121</v>
      </c>
      <c r="AM556" s="119" t="s">
        <v>119</v>
      </c>
      <c r="AN556" s="119" t="s">
        <v>114</v>
      </c>
      <c r="AO556" s="119" t="s">
        <v>115</v>
      </c>
      <c r="AP556" s="119" t="s">
        <v>113</v>
      </c>
      <c r="AQ556" s="119" t="s">
        <v>116</v>
      </c>
      <c r="AR556" s="119" t="s">
        <v>124</v>
      </c>
      <c r="AS556" s="119" t="s">
        <v>123</v>
      </c>
      <c r="AT556" s="8"/>
      <c r="AU556" s="8">
        <f t="shared" si="60"/>
        <v>256</v>
      </c>
      <c r="AV556" s="8">
        <f t="shared" si="61"/>
        <v>64</v>
      </c>
      <c r="AW556" s="8">
        <f t="shared" si="62"/>
        <v>2</v>
      </c>
      <c r="AX556" s="8">
        <f t="shared" si="63"/>
        <v>4</v>
      </c>
      <c r="AY556" s="8">
        <f t="shared" si="64"/>
        <v>1</v>
      </c>
      <c r="AZ556" s="8">
        <f t="shared" si="65"/>
        <v>8</v>
      </c>
      <c r="BA556" s="8">
        <f t="shared" si="66"/>
        <v>2048</v>
      </c>
      <c r="BB556" s="8">
        <f t="shared" si="67"/>
        <v>1024</v>
      </c>
      <c r="BC556" s="8">
        <f t="shared" si="68"/>
        <v>3407</v>
      </c>
      <c r="BD556" s="8"/>
      <c r="BE556" s="8"/>
      <c r="BF556" s="8"/>
      <c r="BG556" s="8"/>
      <c r="BH556" s="8"/>
    </row>
    <row r="557" spans="2:60">
      <c r="B557" s="11"/>
      <c r="C557" s="12"/>
      <c r="D557" s="8"/>
      <c r="E557" s="13"/>
      <c r="F557" s="14"/>
      <c r="G557" s="13"/>
      <c r="H557" s="15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2">
        <v>2895</v>
      </c>
      <c r="AK557" s="118">
        <v>433</v>
      </c>
      <c r="AL557" s="119" t="s">
        <v>115</v>
      </c>
      <c r="AM557" s="119" t="s">
        <v>122</v>
      </c>
      <c r="AN557" s="119" t="s">
        <v>114</v>
      </c>
      <c r="AO557" s="119" t="s">
        <v>116</v>
      </c>
      <c r="AP557" s="119" t="s">
        <v>113</v>
      </c>
      <c r="AQ557" s="119" t="s">
        <v>119</v>
      </c>
      <c r="AR557" s="119" t="s">
        <v>124</v>
      </c>
      <c r="AS557" s="119" t="s">
        <v>121</v>
      </c>
      <c r="AT557" s="8"/>
      <c r="AU557" s="8">
        <f t="shared" si="60"/>
        <v>4</v>
      </c>
      <c r="AV557" s="8">
        <f t="shared" si="61"/>
        <v>512</v>
      </c>
      <c r="AW557" s="8">
        <f t="shared" si="62"/>
        <v>2</v>
      </c>
      <c r="AX557" s="8">
        <f t="shared" si="63"/>
        <v>8</v>
      </c>
      <c r="AY557" s="8">
        <f t="shared" si="64"/>
        <v>1</v>
      </c>
      <c r="AZ557" s="8">
        <f t="shared" si="65"/>
        <v>64</v>
      </c>
      <c r="BA557" s="8">
        <f t="shared" si="66"/>
        <v>2048</v>
      </c>
      <c r="BB557" s="8">
        <f t="shared" si="67"/>
        <v>256</v>
      </c>
      <c r="BC557" s="8">
        <f t="shared" si="68"/>
        <v>2895</v>
      </c>
      <c r="BD557" s="8"/>
      <c r="BE557" s="8"/>
      <c r="BF557" s="8"/>
      <c r="BG557" s="8"/>
      <c r="BH557" s="8"/>
    </row>
    <row r="558" spans="2:60">
      <c r="B558" s="11"/>
      <c r="C558" s="12"/>
      <c r="D558" s="8"/>
      <c r="E558" s="13"/>
      <c r="F558" s="14"/>
      <c r="G558" s="13"/>
      <c r="H558" s="15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2">
        <v>1871</v>
      </c>
      <c r="AK558" s="118">
        <v>434</v>
      </c>
      <c r="AL558" s="119" t="s">
        <v>115</v>
      </c>
      <c r="AM558" s="119" t="s">
        <v>122</v>
      </c>
      <c r="AN558" s="119" t="s">
        <v>114</v>
      </c>
      <c r="AO558" s="119" t="s">
        <v>116</v>
      </c>
      <c r="AP558" s="119" t="s">
        <v>113</v>
      </c>
      <c r="AQ558" s="119" t="s">
        <v>119</v>
      </c>
      <c r="AR558" s="119" t="s">
        <v>121</v>
      </c>
      <c r="AS558" s="119" t="s">
        <v>123</v>
      </c>
      <c r="AT558" s="8"/>
      <c r="AU558" s="8">
        <f t="shared" si="60"/>
        <v>4</v>
      </c>
      <c r="AV558" s="8">
        <f t="shared" si="61"/>
        <v>512</v>
      </c>
      <c r="AW558" s="8">
        <f t="shared" si="62"/>
        <v>2</v>
      </c>
      <c r="AX558" s="8">
        <f t="shared" si="63"/>
        <v>8</v>
      </c>
      <c r="AY558" s="8">
        <f t="shared" si="64"/>
        <v>1</v>
      </c>
      <c r="AZ558" s="8">
        <f t="shared" si="65"/>
        <v>64</v>
      </c>
      <c r="BA558" s="8">
        <f t="shared" si="66"/>
        <v>256</v>
      </c>
      <c r="BB558" s="8">
        <f t="shared" si="67"/>
        <v>1024</v>
      </c>
      <c r="BC558" s="8">
        <f t="shared" si="68"/>
        <v>1871</v>
      </c>
      <c r="BD558" s="8"/>
      <c r="BE558" s="8"/>
      <c r="BF558" s="8"/>
      <c r="BG558" s="8"/>
      <c r="BH558" s="8"/>
    </row>
    <row r="559" spans="2:60">
      <c r="B559" s="11"/>
      <c r="C559" s="12"/>
      <c r="D559" s="8"/>
      <c r="E559" s="13"/>
      <c r="F559" s="14"/>
      <c r="G559" s="13"/>
      <c r="H559" s="15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2">
        <v>3279</v>
      </c>
      <c r="AK559" s="118">
        <v>435</v>
      </c>
      <c r="AL559" s="119" t="s">
        <v>120</v>
      </c>
      <c r="AM559" s="119" t="s">
        <v>119</v>
      </c>
      <c r="AN559" s="119" t="s">
        <v>114</v>
      </c>
      <c r="AO559" s="119" t="s">
        <v>115</v>
      </c>
      <c r="AP559" s="119" t="s">
        <v>113</v>
      </c>
      <c r="AQ559" s="119" t="s">
        <v>116</v>
      </c>
      <c r="AR559" s="119" t="s">
        <v>124</v>
      </c>
      <c r="AS559" s="119" t="s">
        <v>123</v>
      </c>
      <c r="AT559" s="8"/>
      <c r="AU559" s="8">
        <f t="shared" si="60"/>
        <v>128</v>
      </c>
      <c r="AV559" s="8">
        <f t="shared" si="61"/>
        <v>64</v>
      </c>
      <c r="AW559" s="8">
        <f t="shared" si="62"/>
        <v>2</v>
      </c>
      <c r="AX559" s="8">
        <f t="shared" si="63"/>
        <v>4</v>
      </c>
      <c r="AY559" s="8">
        <f t="shared" si="64"/>
        <v>1</v>
      </c>
      <c r="AZ559" s="8">
        <f t="shared" si="65"/>
        <v>8</v>
      </c>
      <c r="BA559" s="8">
        <f t="shared" si="66"/>
        <v>2048</v>
      </c>
      <c r="BB559" s="8">
        <f t="shared" si="67"/>
        <v>1024</v>
      </c>
      <c r="BC559" s="8">
        <f t="shared" si="68"/>
        <v>3279</v>
      </c>
      <c r="BD559" s="8"/>
      <c r="BE559" s="8"/>
      <c r="BF559" s="8"/>
      <c r="BG559" s="8"/>
      <c r="BH559" s="8"/>
    </row>
    <row r="560" spans="2:60">
      <c r="B560" s="11"/>
      <c r="C560" s="12"/>
      <c r="D560" s="8"/>
      <c r="E560" s="13"/>
      <c r="F560" s="14"/>
      <c r="G560" s="13"/>
      <c r="H560" s="15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2">
        <v>2767</v>
      </c>
      <c r="AK560" s="118">
        <v>436</v>
      </c>
      <c r="AL560" s="119" t="s">
        <v>120</v>
      </c>
      <c r="AM560" s="119" t="s">
        <v>119</v>
      </c>
      <c r="AN560" s="119" t="s">
        <v>114</v>
      </c>
      <c r="AO560" s="119" t="s">
        <v>115</v>
      </c>
      <c r="AP560" s="119" t="s">
        <v>113</v>
      </c>
      <c r="AQ560" s="119" t="s">
        <v>116</v>
      </c>
      <c r="AR560" s="119" t="s">
        <v>124</v>
      </c>
      <c r="AS560" s="119" t="s">
        <v>122</v>
      </c>
      <c r="AT560" s="8"/>
      <c r="AU560" s="8">
        <f t="shared" si="60"/>
        <v>128</v>
      </c>
      <c r="AV560" s="8">
        <f t="shared" si="61"/>
        <v>64</v>
      </c>
      <c r="AW560" s="8">
        <f t="shared" si="62"/>
        <v>2</v>
      </c>
      <c r="AX560" s="8">
        <f t="shared" si="63"/>
        <v>4</v>
      </c>
      <c r="AY560" s="8">
        <f t="shared" si="64"/>
        <v>1</v>
      </c>
      <c r="AZ560" s="8">
        <f t="shared" si="65"/>
        <v>8</v>
      </c>
      <c r="BA560" s="8">
        <f t="shared" si="66"/>
        <v>2048</v>
      </c>
      <c r="BB560" s="8">
        <f t="shared" si="67"/>
        <v>512</v>
      </c>
      <c r="BC560" s="8">
        <f t="shared" si="68"/>
        <v>2767</v>
      </c>
      <c r="BD560" s="8"/>
      <c r="BE560" s="8"/>
      <c r="BF560" s="8"/>
      <c r="BG560" s="8"/>
      <c r="BH560" s="8"/>
    </row>
    <row r="561" spans="2:60">
      <c r="B561" s="11"/>
      <c r="C561" s="12"/>
      <c r="D561" s="8"/>
      <c r="E561" s="13"/>
      <c r="F561" s="14"/>
      <c r="G561" s="13"/>
      <c r="H561" s="15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2">
        <v>1743</v>
      </c>
      <c r="AK561" s="118">
        <v>437</v>
      </c>
      <c r="AL561" s="119" t="s">
        <v>120</v>
      </c>
      <c r="AM561" s="119" t="s">
        <v>119</v>
      </c>
      <c r="AN561" s="119" t="s">
        <v>114</v>
      </c>
      <c r="AO561" s="119" t="s">
        <v>115</v>
      </c>
      <c r="AP561" s="119" t="s">
        <v>113</v>
      </c>
      <c r="AQ561" s="119" t="s">
        <v>116</v>
      </c>
      <c r="AR561" s="119" t="s">
        <v>122</v>
      </c>
      <c r="AS561" s="119" t="s">
        <v>123</v>
      </c>
      <c r="AT561" s="8"/>
      <c r="AU561" s="8">
        <f t="shared" si="60"/>
        <v>128</v>
      </c>
      <c r="AV561" s="8">
        <f t="shared" si="61"/>
        <v>64</v>
      </c>
      <c r="AW561" s="8">
        <f t="shared" si="62"/>
        <v>2</v>
      </c>
      <c r="AX561" s="8">
        <f t="shared" si="63"/>
        <v>4</v>
      </c>
      <c r="AY561" s="8">
        <f t="shared" si="64"/>
        <v>1</v>
      </c>
      <c r="AZ561" s="8">
        <f t="shared" si="65"/>
        <v>8</v>
      </c>
      <c r="BA561" s="8">
        <f t="shared" si="66"/>
        <v>512</v>
      </c>
      <c r="BB561" s="8">
        <f t="shared" si="67"/>
        <v>1024</v>
      </c>
      <c r="BC561" s="8">
        <f t="shared" si="68"/>
        <v>1743</v>
      </c>
      <c r="BD561" s="8"/>
      <c r="BE561" s="8"/>
      <c r="BF561" s="8"/>
      <c r="BG561" s="8"/>
      <c r="BH561" s="8"/>
    </row>
    <row r="562" spans="2:60">
      <c r="B562" s="11"/>
      <c r="C562" s="12"/>
      <c r="D562" s="8"/>
      <c r="E562" s="13"/>
      <c r="F562" s="14"/>
      <c r="G562" s="13"/>
      <c r="H562" s="15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2">
        <v>2511</v>
      </c>
      <c r="AK562" s="118">
        <v>438</v>
      </c>
      <c r="AL562" s="119" t="s">
        <v>120</v>
      </c>
      <c r="AM562" s="119" t="s">
        <v>119</v>
      </c>
      <c r="AN562" s="119" t="s">
        <v>114</v>
      </c>
      <c r="AO562" s="119" t="s">
        <v>115</v>
      </c>
      <c r="AP562" s="119" t="s">
        <v>113</v>
      </c>
      <c r="AQ562" s="119" t="s">
        <v>116</v>
      </c>
      <c r="AR562" s="119" t="s">
        <v>124</v>
      </c>
      <c r="AS562" s="119" t="s">
        <v>121</v>
      </c>
      <c r="AT562" s="8"/>
      <c r="AU562" s="8">
        <f t="shared" si="60"/>
        <v>128</v>
      </c>
      <c r="AV562" s="8">
        <f t="shared" si="61"/>
        <v>64</v>
      </c>
      <c r="AW562" s="8">
        <f t="shared" si="62"/>
        <v>2</v>
      </c>
      <c r="AX562" s="8">
        <f t="shared" si="63"/>
        <v>4</v>
      </c>
      <c r="AY562" s="8">
        <f t="shared" si="64"/>
        <v>1</v>
      </c>
      <c r="AZ562" s="8">
        <f t="shared" si="65"/>
        <v>8</v>
      </c>
      <c r="BA562" s="8">
        <f t="shared" si="66"/>
        <v>2048</v>
      </c>
      <c r="BB562" s="8">
        <f t="shared" si="67"/>
        <v>256</v>
      </c>
      <c r="BC562" s="8">
        <f t="shared" si="68"/>
        <v>2511</v>
      </c>
      <c r="BD562" s="8"/>
      <c r="BE562" s="8"/>
      <c r="BF562" s="8"/>
      <c r="BG562" s="8"/>
      <c r="BH562" s="8"/>
    </row>
    <row r="563" spans="2:60">
      <c r="B563" s="11"/>
      <c r="C563" s="12"/>
      <c r="D563" s="8"/>
      <c r="E563" s="13"/>
      <c r="F563" s="14"/>
      <c r="G563" s="13"/>
      <c r="H563" s="15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2">
        <v>1487</v>
      </c>
      <c r="AK563" s="118">
        <v>439</v>
      </c>
      <c r="AL563" s="119" t="s">
        <v>120</v>
      </c>
      <c r="AM563" s="119" t="s">
        <v>119</v>
      </c>
      <c r="AN563" s="119" t="s">
        <v>114</v>
      </c>
      <c r="AO563" s="119" t="s">
        <v>115</v>
      </c>
      <c r="AP563" s="119" t="s">
        <v>113</v>
      </c>
      <c r="AQ563" s="119" t="s">
        <v>116</v>
      </c>
      <c r="AR563" s="119" t="s">
        <v>121</v>
      </c>
      <c r="AS563" s="119" t="s">
        <v>123</v>
      </c>
      <c r="AT563" s="8"/>
      <c r="AU563" s="8">
        <f t="shared" si="60"/>
        <v>128</v>
      </c>
      <c r="AV563" s="8">
        <f t="shared" si="61"/>
        <v>64</v>
      </c>
      <c r="AW563" s="8">
        <f t="shared" si="62"/>
        <v>2</v>
      </c>
      <c r="AX563" s="8">
        <f t="shared" si="63"/>
        <v>4</v>
      </c>
      <c r="AY563" s="8">
        <f t="shared" si="64"/>
        <v>1</v>
      </c>
      <c r="AZ563" s="8">
        <f t="shared" si="65"/>
        <v>8</v>
      </c>
      <c r="BA563" s="8">
        <f t="shared" si="66"/>
        <v>256</v>
      </c>
      <c r="BB563" s="8">
        <f t="shared" si="67"/>
        <v>1024</v>
      </c>
      <c r="BC563" s="8">
        <f t="shared" si="68"/>
        <v>1487</v>
      </c>
      <c r="BD563" s="8"/>
      <c r="BE563" s="8"/>
      <c r="BF563" s="8"/>
      <c r="BG563" s="8"/>
      <c r="BH563" s="8"/>
    </row>
    <row r="564" spans="2:60">
      <c r="B564" s="11"/>
      <c r="C564" s="12"/>
      <c r="D564" s="8"/>
      <c r="E564" s="13"/>
      <c r="F564" s="14"/>
      <c r="G564" s="13"/>
      <c r="H564" s="15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2">
        <v>975</v>
      </c>
      <c r="AK564" s="118">
        <v>440</v>
      </c>
      <c r="AL564" s="119" t="s">
        <v>120</v>
      </c>
      <c r="AM564" s="119" t="s">
        <v>119</v>
      </c>
      <c r="AN564" s="119" t="s">
        <v>114</v>
      </c>
      <c r="AO564" s="119" t="s">
        <v>115</v>
      </c>
      <c r="AP564" s="119" t="s">
        <v>113</v>
      </c>
      <c r="AQ564" s="119" t="s">
        <v>116</v>
      </c>
      <c r="AR564" s="119" t="s">
        <v>121</v>
      </c>
      <c r="AS564" s="119" t="s">
        <v>122</v>
      </c>
      <c r="AT564" s="8"/>
      <c r="AU564" s="8">
        <f t="shared" si="60"/>
        <v>128</v>
      </c>
      <c r="AV564" s="8">
        <f t="shared" si="61"/>
        <v>64</v>
      </c>
      <c r="AW564" s="8">
        <f t="shared" si="62"/>
        <v>2</v>
      </c>
      <c r="AX564" s="8">
        <f t="shared" si="63"/>
        <v>4</v>
      </c>
      <c r="AY564" s="8">
        <f t="shared" si="64"/>
        <v>1</v>
      </c>
      <c r="AZ564" s="8">
        <f t="shared" si="65"/>
        <v>8</v>
      </c>
      <c r="BA564" s="8">
        <f t="shared" si="66"/>
        <v>256</v>
      </c>
      <c r="BB564" s="8">
        <f t="shared" si="67"/>
        <v>512</v>
      </c>
      <c r="BC564" s="8">
        <f t="shared" si="68"/>
        <v>975</v>
      </c>
      <c r="BD564" s="8"/>
      <c r="BE564" s="8"/>
      <c r="BF564" s="8"/>
      <c r="BG564" s="8"/>
      <c r="BH564" s="8"/>
    </row>
    <row r="565" spans="2:60">
      <c r="B565" s="11"/>
      <c r="C565" s="12"/>
      <c r="D565" s="8"/>
      <c r="E565" s="13"/>
      <c r="F565" s="14"/>
      <c r="G565" s="13"/>
      <c r="H565" s="1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2">
        <v>3631</v>
      </c>
      <c r="AK565" s="118">
        <v>441</v>
      </c>
      <c r="AL565" s="119" t="s">
        <v>115</v>
      </c>
      <c r="AM565" s="119" t="s">
        <v>122</v>
      </c>
      <c r="AN565" s="119" t="s">
        <v>114</v>
      </c>
      <c r="AO565" s="119" t="s">
        <v>116</v>
      </c>
      <c r="AP565" s="119" t="s">
        <v>113</v>
      </c>
      <c r="AQ565" s="119" t="s">
        <v>118</v>
      </c>
      <c r="AR565" s="119" t="s">
        <v>124</v>
      </c>
      <c r="AS565" s="119" t="s">
        <v>123</v>
      </c>
      <c r="AT565" s="8"/>
      <c r="AU565" s="8">
        <f t="shared" si="60"/>
        <v>4</v>
      </c>
      <c r="AV565" s="8">
        <f t="shared" si="61"/>
        <v>512</v>
      </c>
      <c r="AW565" s="8">
        <f t="shared" si="62"/>
        <v>2</v>
      </c>
      <c r="AX565" s="8">
        <f t="shared" si="63"/>
        <v>8</v>
      </c>
      <c r="AY565" s="8">
        <f t="shared" si="64"/>
        <v>1</v>
      </c>
      <c r="AZ565" s="8">
        <f t="shared" si="65"/>
        <v>32</v>
      </c>
      <c r="BA565" s="8">
        <f t="shared" si="66"/>
        <v>2048</v>
      </c>
      <c r="BB565" s="8">
        <f t="shared" si="67"/>
        <v>1024</v>
      </c>
      <c r="BC565" s="8">
        <f t="shared" si="68"/>
        <v>3631</v>
      </c>
      <c r="BD565" s="8"/>
      <c r="BE565" s="8"/>
      <c r="BF565" s="8"/>
      <c r="BG565" s="8"/>
      <c r="BH565" s="8"/>
    </row>
    <row r="566" spans="2:60">
      <c r="B566" s="11"/>
      <c r="C566" s="12"/>
      <c r="D566" s="8"/>
      <c r="E566" s="13"/>
      <c r="F566" s="14"/>
      <c r="G566" s="13"/>
      <c r="H566" s="1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2">
        <v>3375</v>
      </c>
      <c r="AK566" s="118">
        <v>442</v>
      </c>
      <c r="AL566" s="119" t="s">
        <v>115</v>
      </c>
      <c r="AM566" s="119" t="s">
        <v>121</v>
      </c>
      <c r="AN566" s="119" t="s">
        <v>114</v>
      </c>
      <c r="AO566" s="119" t="s">
        <v>116</v>
      </c>
      <c r="AP566" s="119" t="s">
        <v>113</v>
      </c>
      <c r="AQ566" s="119" t="s">
        <v>118</v>
      </c>
      <c r="AR566" s="119" t="s">
        <v>124</v>
      </c>
      <c r="AS566" s="119" t="s">
        <v>123</v>
      </c>
      <c r="AT566" s="8"/>
      <c r="AU566" s="8">
        <f t="shared" si="60"/>
        <v>4</v>
      </c>
      <c r="AV566" s="8">
        <f t="shared" si="61"/>
        <v>256</v>
      </c>
      <c r="AW566" s="8">
        <f t="shared" si="62"/>
        <v>2</v>
      </c>
      <c r="AX566" s="8">
        <f t="shared" si="63"/>
        <v>8</v>
      </c>
      <c r="AY566" s="8">
        <f t="shared" si="64"/>
        <v>1</v>
      </c>
      <c r="AZ566" s="8">
        <f t="shared" si="65"/>
        <v>32</v>
      </c>
      <c r="BA566" s="8">
        <f t="shared" si="66"/>
        <v>2048</v>
      </c>
      <c r="BB566" s="8">
        <f t="shared" si="67"/>
        <v>1024</v>
      </c>
      <c r="BC566" s="8">
        <f t="shared" si="68"/>
        <v>3375</v>
      </c>
      <c r="BD566" s="8"/>
      <c r="BE566" s="8"/>
      <c r="BF566" s="8"/>
      <c r="BG566" s="8"/>
      <c r="BH566" s="8"/>
    </row>
    <row r="567" spans="2:60">
      <c r="B567" s="11"/>
      <c r="C567" s="12"/>
      <c r="D567" s="8"/>
      <c r="E567" s="13"/>
      <c r="F567" s="14"/>
      <c r="G567" s="13"/>
      <c r="H567" s="15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2">
        <v>2863</v>
      </c>
      <c r="AK567" s="118">
        <v>443</v>
      </c>
      <c r="AL567" s="119" t="s">
        <v>115</v>
      </c>
      <c r="AM567" s="119" t="s">
        <v>122</v>
      </c>
      <c r="AN567" s="119" t="s">
        <v>114</v>
      </c>
      <c r="AO567" s="119" t="s">
        <v>116</v>
      </c>
      <c r="AP567" s="119" t="s">
        <v>113</v>
      </c>
      <c r="AQ567" s="119" t="s">
        <v>118</v>
      </c>
      <c r="AR567" s="119" t="s">
        <v>124</v>
      </c>
      <c r="AS567" s="119" t="s">
        <v>121</v>
      </c>
      <c r="AT567" s="8"/>
      <c r="AU567" s="8">
        <f t="shared" si="60"/>
        <v>4</v>
      </c>
      <c r="AV567" s="8">
        <f t="shared" si="61"/>
        <v>512</v>
      </c>
      <c r="AW567" s="8">
        <f t="shared" si="62"/>
        <v>2</v>
      </c>
      <c r="AX567" s="8">
        <f t="shared" si="63"/>
        <v>8</v>
      </c>
      <c r="AY567" s="8">
        <f t="shared" si="64"/>
        <v>1</v>
      </c>
      <c r="AZ567" s="8">
        <f t="shared" si="65"/>
        <v>32</v>
      </c>
      <c r="BA567" s="8">
        <f t="shared" si="66"/>
        <v>2048</v>
      </c>
      <c r="BB567" s="8">
        <f t="shared" si="67"/>
        <v>256</v>
      </c>
      <c r="BC567" s="8">
        <f t="shared" si="68"/>
        <v>2863</v>
      </c>
      <c r="BD567" s="8"/>
      <c r="BE567" s="8"/>
      <c r="BF567" s="8"/>
      <c r="BG567" s="8"/>
      <c r="BH567" s="8"/>
    </row>
    <row r="568" spans="2:60">
      <c r="B568" s="11"/>
      <c r="C568" s="12"/>
      <c r="D568" s="8"/>
      <c r="E568" s="13"/>
      <c r="F568" s="14"/>
      <c r="G568" s="13"/>
      <c r="H568" s="15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2">
        <v>1839</v>
      </c>
      <c r="AK568" s="118">
        <v>444</v>
      </c>
      <c r="AL568" s="119" t="s">
        <v>115</v>
      </c>
      <c r="AM568" s="119" t="s">
        <v>122</v>
      </c>
      <c r="AN568" s="119" t="s">
        <v>114</v>
      </c>
      <c r="AO568" s="119" t="s">
        <v>116</v>
      </c>
      <c r="AP568" s="119" t="s">
        <v>113</v>
      </c>
      <c r="AQ568" s="119" t="s">
        <v>118</v>
      </c>
      <c r="AR568" s="119" t="s">
        <v>121</v>
      </c>
      <c r="AS568" s="119" t="s">
        <v>123</v>
      </c>
      <c r="AT568" s="8"/>
      <c r="AU568" s="8">
        <f t="shared" si="60"/>
        <v>4</v>
      </c>
      <c r="AV568" s="8">
        <f t="shared" si="61"/>
        <v>512</v>
      </c>
      <c r="AW568" s="8">
        <f t="shared" si="62"/>
        <v>2</v>
      </c>
      <c r="AX568" s="8">
        <f t="shared" si="63"/>
        <v>8</v>
      </c>
      <c r="AY568" s="8">
        <f t="shared" si="64"/>
        <v>1</v>
      </c>
      <c r="AZ568" s="8">
        <f t="shared" si="65"/>
        <v>32</v>
      </c>
      <c r="BA568" s="8">
        <f t="shared" si="66"/>
        <v>256</v>
      </c>
      <c r="BB568" s="8">
        <f t="shared" si="67"/>
        <v>1024</v>
      </c>
      <c r="BC568" s="8">
        <f t="shared" si="68"/>
        <v>1839</v>
      </c>
      <c r="BD568" s="8"/>
      <c r="BE568" s="8"/>
      <c r="BF568" s="8"/>
      <c r="BG568" s="8"/>
      <c r="BH568" s="8"/>
    </row>
    <row r="569" spans="2:60">
      <c r="B569" s="11"/>
      <c r="C569" s="12"/>
      <c r="D569" s="8"/>
      <c r="E569" s="13"/>
      <c r="F569" s="14"/>
      <c r="G569" s="13"/>
      <c r="H569" s="15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2">
        <v>3247</v>
      </c>
      <c r="AK569" s="118">
        <v>445</v>
      </c>
      <c r="AL569" s="119" t="s">
        <v>120</v>
      </c>
      <c r="AM569" s="119" t="s">
        <v>118</v>
      </c>
      <c r="AN569" s="119" t="s">
        <v>114</v>
      </c>
      <c r="AO569" s="119" t="s">
        <v>115</v>
      </c>
      <c r="AP569" s="119" t="s">
        <v>113</v>
      </c>
      <c r="AQ569" s="119" t="s">
        <v>116</v>
      </c>
      <c r="AR569" s="119" t="s">
        <v>124</v>
      </c>
      <c r="AS569" s="119" t="s">
        <v>123</v>
      </c>
      <c r="AT569" s="8"/>
      <c r="AU569" s="8">
        <f t="shared" si="60"/>
        <v>128</v>
      </c>
      <c r="AV569" s="8">
        <f t="shared" si="61"/>
        <v>32</v>
      </c>
      <c r="AW569" s="8">
        <f t="shared" si="62"/>
        <v>2</v>
      </c>
      <c r="AX569" s="8">
        <f t="shared" si="63"/>
        <v>4</v>
      </c>
      <c r="AY569" s="8">
        <f t="shared" si="64"/>
        <v>1</v>
      </c>
      <c r="AZ569" s="8">
        <f t="shared" si="65"/>
        <v>8</v>
      </c>
      <c r="BA569" s="8">
        <f t="shared" si="66"/>
        <v>2048</v>
      </c>
      <c r="BB569" s="8">
        <f t="shared" si="67"/>
        <v>1024</v>
      </c>
      <c r="BC569" s="8">
        <f t="shared" si="68"/>
        <v>3247</v>
      </c>
      <c r="BD569" s="8"/>
      <c r="BE569" s="8"/>
      <c r="BF569" s="8"/>
      <c r="BG569" s="8"/>
      <c r="BH569" s="8"/>
    </row>
    <row r="570" spans="2:60">
      <c r="B570" s="11"/>
      <c r="C570" s="12"/>
      <c r="D570" s="8"/>
      <c r="E570" s="13"/>
      <c r="F570" s="14"/>
      <c r="G570" s="13"/>
      <c r="H570" s="15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2">
        <v>2735</v>
      </c>
      <c r="AK570" s="118">
        <v>446</v>
      </c>
      <c r="AL570" s="119" t="s">
        <v>115</v>
      </c>
      <c r="AM570" s="119" t="s">
        <v>122</v>
      </c>
      <c r="AN570" s="119" t="s">
        <v>114</v>
      </c>
      <c r="AO570" s="119" t="s">
        <v>116</v>
      </c>
      <c r="AP570" s="119" t="s">
        <v>113</v>
      </c>
      <c r="AQ570" s="119" t="s">
        <v>118</v>
      </c>
      <c r="AR570" s="119" t="s">
        <v>124</v>
      </c>
      <c r="AS570" s="119" t="s">
        <v>120</v>
      </c>
      <c r="AT570" s="8"/>
      <c r="AU570" s="8">
        <f t="shared" si="60"/>
        <v>4</v>
      </c>
      <c r="AV570" s="8">
        <f t="shared" si="61"/>
        <v>512</v>
      </c>
      <c r="AW570" s="8">
        <f t="shared" si="62"/>
        <v>2</v>
      </c>
      <c r="AX570" s="8">
        <f t="shared" si="63"/>
        <v>8</v>
      </c>
      <c r="AY570" s="8">
        <f t="shared" si="64"/>
        <v>1</v>
      </c>
      <c r="AZ570" s="8">
        <f t="shared" si="65"/>
        <v>32</v>
      </c>
      <c r="BA570" s="8">
        <f t="shared" si="66"/>
        <v>2048</v>
      </c>
      <c r="BB570" s="8">
        <f t="shared" si="67"/>
        <v>128</v>
      </c>
      <c r="BC570" s="8">
        <f t="shared" si="68"/>
        <v>2735</v>
      </c>
      <c r="BD570" s="8"/>
      <c r="BE570" s="8"/>
      <c r="BF570" s="8"/>
      <c r="BG570" s="8"/>
      <c r="BH570" s="8"/>
    </row>
    <row r="571" spans="2:60">
      <c r="B571" s="11"/>
      <c r="C571" s="12"/>
      <c r="D571" s="8"/>
      <c r="E571" s="13"/>
      <c r="F571" s="14"/>
      <c r="G571" s="13"/>
      <c r="H571" s="1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2">
        <v>1711</v>
      </c>
      <c r="AK571" s="118">
        <v>447</v>
      </c>
      <c r="AL571" s="119" t="s">
        <v>120</v>
      </c>
      <c r="AM571" s="119" t="s">
        <v>122</v>
      </c>
      <c r="AN571" s="119" t="s">
        <v>114</v>
      </c>
      <c r="AO571" s="119" t="s">
        <v>115</v>
      </c>
      <c r="AP571" s="119" t="s">
        <v>113</v>
      </c>
      <c r="AQ571" s="119" t="s">
        <v>118</v>
      </c>
      <c r="AR571" s="119" t="s">
        <v>116</v>
      </c>
      <c r="AS571" s="119" t="s">
        <v>123</v>
      </c>
      <c r="AT571" s="8"/>
      <c r="AU571" s="8">
        <f t="shared" si="60"/>
        <v>128</v>
      </c>
      <c r="AV571" s="8">
        <f t="shared" si="61"/>
        <v>512</v>
      </c>
      <c r="AW571" s="8">
        <f t="shared" si="62"/>
        <v>2</v>
      </c>
      <c r="AX571" s="8">
        <f t="shared" si="63"/>
        <v>4</v>
      </c>
      <c r="AY571" s="8">
        <f t="shared" si="64"/>
        <v>1</v>
      </c>
      <c r="AZ571" s="8">
        <f t="shared" si="65"/>
        <v>32</v>
      </c>
      <c r="BA571" s="8">
        <f t="shared" si="66"/>
        <v>8</v>
      </c>
      <c r="BB571" s="8">
        <f t="shared" si="67"/>
        <v>1024</v>
      </c>
      <c r="BC571" s="8">
        <f t="shared" si="68"/>
        <v>1711</v>
      </c>
      <c r="BD571" s="8"/>
      <c r="BE571" s="8"/>
      <c r="BF571" s="8"/>
      <c r="BG571" s="8"/>
      <c r="BH571" s="8"/>
    </row>
    <row r="572" spans="2:60">
      <c r="B572" s="11"/>
      <c r="C572" s="12"/>
      <c r="D572" s="8"/>
      <c r="E572" s="13"/>
      <c r="F572" s="14"/>
      <c r="G572" s="13"/>
      <c r="H572" s="1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2">
        <v>2479</v>
      </c>
      <c r="AK572" s="118">
        <v>448</v>
      </c>
      <c r="AL572" s="119" t="s">
        <v>120</v>
      </c>
      <c r="AM572" s="119" t="s">
        <v>118</v>
      </c>
      <c r="AN572" s="119" t="s">
        <v>114</v>
      </c>
      <c r="AO572" s="119" t="s">
        <v>115</v>
      </c>
      <c r="AP572" s="119" t="s">
        <v>113</v>
      </c>
      <c r="AQ572" s="119" t="s">
        <v>116</v>
      </c>
      <c r="AR572" s="119" t="s">
        <v>124</v>
      </c>
      <c r="AS572" s="119" t="s">
        <v>121</v>
      </c>
      <c r="AT572" s="8"/>
      <c r="AU572" s="8">
        <f t="shared" si="60"/>
        <v>128</v>
      </c>
      <c r="AV572" s="8">
        <f t="shared" si="61"/>
        <v>32</v>
      </c>
      <c r="AW572" s="8">
        <f t="shared" si="62"/>
        <v>2</v>
      </c>
      <c r="AX572" s="8">
        <f t="shared" si="63"/>
        <v>4</v>
      </c>
      <c r="AY572" s="8">
        <f t="shared" si="64"/>
        <v>1</v>
      </c>
      <c r="AZ572" s="8">
        <f t="shared" si="65"/>
        <v>8</v>
      </c>
      <c r="BA572" s="8">
        <f t="shared" si="66"/>
        <v>2048</v>
      </c>
      <c r="BB572" s="8">
        <f t="shared" si="67"/>
        <v>256</v>
      </c>
      <c r="BC572" s="8">
        <f t="shared" si="68"/>
        <v>2479</v>
      </c>
      <c r="BD572" s="8"/>
      <c r="BE572" s="8"/>
      <c r="BF572" s="8"/>
      <c r="BG572" s="8"/>
      <c r="BH572" s="8"/>
    </row>
    <row r="573" spans="2:60">
      <c r="B573" s="11"/>
      <c r="C573" s="12"/>
      <c r="D573" s="8"/>
      <c r="E573" s="13"/>
      <c r="F573" s="14"/>
      <c r="G573" s="13"/>
      <c r="H573" s="15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2">
        <v>1455</v>
      </c>
      <c r="AK573" s="118">
        <v>449</v>
      </c>
      <c r="AL573" s="119" t="s">
        <v>120</v>
      </c>
      <c r="AM573" s="119" t="s">
        <v>118</v>
      </c>
      <c r="AN573" s="119" t="s">
        <v>114</v>
      </c>
      <c r="AO573" s="119" t="s">
        <v>115</v>
      </c>
      <c r="AP573" s="119" t="s">
        <v>113</v>
      </c>
      <c r="AQ573" s="119" t="s">
        <v>116</v>
      </c>
      <c r="AR573" s="119" t="s">
        <v>121</v>
      </c>
      <c r="AS573" s="119" t="s">
        <v>123</v>
      </c>
      <c r="AT573" s="8"/>
      <c r="AU573" s="8">
        <f t="shared" ref="AU573:AU619" si="69">+VLOOKUP(AL573,$Q$105:$R$116,2)</f>
        <v>128</v>
      </c>
      <c r="AV573" s="8">
        <f t="shared" ref="AV573:AV619" si="70">+VLOOKUP(AM573,$Q$105:$R$116,2)</f>
        <v>32</v>
      </c>
      <c r="AW573" s="8">
        <f t="shared" ref="AW573:AW619" si="71">+VLOOKUP(AN573,$Q$105:$R$116,2)</f>
        <v>2</v>
      </c>
      <c r="AX573" s="8">
        <f t="shared" ref="AX573:AX619" si="72">+VLOOKUP(AO573,$Q$105:$R$116,2)</f>
        <v>4</v>
      </c>
      <c r="AY573" s="8">
        <f t="shared" ref="AY573:AY619" si="73">+VLOOKUP(AP573,$Q$105:$R$116,2)</f>
        <v>1</v>
      </c>
      <c r="AZ573" s="8">
        <f t="shared" ref="AZ573:AZ619" si="74">+VLOOKUP(AQ573,$Q$105:$R$116,2)</f>
        <v>8</v>
      </c>
      <c r="BA573" s="8">
        <f t="shared" ref="BA573:BA619" si="75">+VLOOKUP(AR573,$Q$105:$R$116,2)</f>
        <v>256</v>
      </c>
      <c r="BB573" s="8">
        <f t="shared" ref="BB573:BB619" si="76">+VLOOKUP(AS573,$Q$105:$R$116,2)</f>
        <v>1024</v>
      </c>
      <c r="BC573" s="8">
        <f t="shared" ref="BC573:BC619" si="77">+SUM(AU573:BB573)</f>
        <v>1455</v>
      </c>
      <c r="BD573" s="8"/>
      <c r="BE573" s="8"/>
      <c r="BF573" s="8"/>
      <c r="BG573" s="8"/>
      <c r="BH573" s="8"/>
    </row>
    <row r="574" spans="2:60">
      <c r="B574" s="11"/>
      <c r="C574" s="12"/>
      <c r="D574" s="8"/>
      <c r="E574" s="13"/>
      <c r="F574" s="14"/>
      <c r="G574" s="13"/>
      <c r="H574" s="15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2">
        <v>943</v>
      </c>
      <c r="AK574" s="118">
        <v>450</v>
      </c>
      <c r="AL574" s="119" t="s">
        <v>120</v>
      </c>
      <c r="AM574" s="119" t="s">
        <v>122</v>
      </c>
      <c r="AN574" s="119" t="s">
        <v>114</v>
      </c>
      <c r="AO574" s="119" t="s">
        <v>115</v>
      </c>
      <c r="AP574" s="119" t="s">
        <v>113</v>
      </c>
      <c r="AQ574" s="119" t="s">
        <v>118</v>
      </c>
      <c r="AR574" s="119" t="s">
        <v>116</v>
      </c>
      <c r="AS574" s="119" t="s">
        <v>121</v>
      </c>
      <c r="AT574" s="8"/>
      <c r="AU574" s="8">
        <f t="shared" si="69"/>
        <v>128</v>
      </c>
      <c r="AV574" s="8">
        <f t="shared" si="70"/>
        <v>512</v>
      </c>
      <c r="AW574" s="8">
        <f t="shared" si="71"/>
        <v>2</v>
      </c>
      <c r="AX574" s="8">
        <f t="shared" si="72"/>
        <v>4</v>
      </c>
      <c r="AY574" s="8">
        <f t="shared" si="73"/>
        <v>1</v>
      </c>
      <c r="AZ574" s="8">
        <f t="shared" si="74"/>
        <v>32</v>
      </c>
      <c r="BA574" s="8">
        <f t="shared" si="75"/>
        <v>8</v>
      </c>
      <c r="BB574" s="8">
        <f t="shared" si="76"/>
        <v>256</v>
      </c>
      <c r="BC574" s="8">
        <f t="shared" si="77"/>
        <v>943</v>
      </c>
      <c r="BD574" s="8"/>
      <c r="BE574" s="8"/>
      <c r="BF574" s="8"/>
      <c r="BG574" s="8"/>
      <c r="BH574" s="8"/>
    </row>
    <row r="575" spans="2:60">
      <c r="B575" s="11"/>
      <c r="C575" s="12"/>
      <c r="D575" s="8"/>
      <c r="E575" s="13"/>
      <c r="F575" s="14"/>
      <c r="G575" s="13"/>
      <c r="H575" s="1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2">
        <v>3183</v>
      </c>
      <c r="AK575" s="118">
        <v>451</v>
      </c>
      <c r="AL575" s="119" t="s">
        <v>115</v>
      </c>
      <c r="AM575" s="119" t="s">
        <v>119</v>
      </c>
      <c r="AN575" s="119" t="s">
        <v>114</v>
      </c>
      <c r="AO575" s="119" t="s">
        <v>116</v>
      </c>
      <c r="AP575" s="119" t="s">
        <v>113</v>
      </c>
      <c r="AQ575" s="119" t="s">
        <v>118</v>
      </c>
      <c r="AR575" s="119" t="s">
        <v>124</v>
      </c>
      <c r="AS575" s="119" t="s">
        <v>123</v>
      </c>
      <c r="AT575" s="8"/>
      <c r="AU575" s="8">
        <f t="shared" si="69"/>
        <v>4</v>
      </c>
      <c r="AV575" s="8">
        <f t="shared" si="70"/>
        <v>64</v>
      </c>
      <c r="AW575" s="8">
        <f t="shared" si="71"/>
        <v>2</v>
      </c>
      <c r="AX575" s="8">
        <f t="shared" si="72"/>
        <v>8</v>
      </c>
      <c r="AY575" s="8">
        <f t="shared" si="73"/>
        <v>1</v>
      </c>
      <c r="AZ575" s="8">
        <f t="shared" si="74"/>
        <v>32</v>
      </c>
      <c r="BA575" s="8">
        <f t="shared" si="75"/>
        <v>2048</v>
      </c>
      <c r="BB575" s="8">
        <f t="shared" si="76"/>
        <v>1024</v>
      </c>
      <c r="BC575" s="8">
        <f t="shared" si="77"/>
        <v>3183</v>
      </c>
      <c r="BD575" s="8"/>
      <c r="BE575" s="8"/>
      <c r="BF575" s="8"/>
      <c r="BG575" s="8"/>
      <c r="BH575" s="8"/>
    </row>
    <row r="576" spans="2:60">
      <c r="B576" s="11"/>
      <c r="C576" s="12"/>
      <c r="D576" s="8"/>
      <c r="E576" s="13"/>
      <c r="F576" s="14"/>
      <c r="G576" s="13"/>
      <c r="H576" s="1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2">
        <v>2671</v>
      </c>
      <c r="AK576" s="118">
        <v>452</v>
      </c>
      <c r="AL576" s="119" t="s">
        <v>115</v>
      </c>
      <c r="AM576" s="119" t="s">
        <v>119</v>
      </c>
      <c r="AN576" s="119" t="s">
        <v>114</v>
      </c>
      <c r="AO576" s="119" t="s">
        <v>116</v>
      </c>
      <c r="AP576" s="119" t="s">
        <v>113</v>
      </c>
      <c r="AQ576" s="119" t="s">
        <v>118</v>
      </c>
      <c r="AR576" s="119" t="s">
        <v>124</v>
      </c>
      <c r="AS576" s="119" t="s">
        <v>122</v>
      </c>
      <c r="AT576" s="8"/>
      <c r="AU576" s="8">
        <f t="shared" si="69"/>
        <v>4</v>
      </c>
      <c r="AV576" s="8">
        <f t="shared" si="70"/>
        <v>64</v>
      </c>
      <c r="AW576" s="8">
        <f t="shared" si="71"/>
        <v>2</v>
      </c>
      <c r="AX576" s="8">
        <f t="shared" si="72"/>
        <v>8</v>
      </c>
      <c r="AY576" s="8">
        <f t="shared" si="73"/>
        <v>1</v>
      </c>
      <c r="AZ576" s="8">
        <f t="shared" si="74"/>
        <v>32</v>
      </c>
      <c r="BA576" s="8">
        <f t="shared" si="75"/>
        <v>2048</v>
      </c>
      <c r="BB576" s="8">
        <f t="shared" si="76"/>
        <v>512</v>
      </c>
      <c r="BC576" s="8">
        <f t="shared" si="77"/>
        <v>2671</v>
      </c>
      <c r="BD576" s="8"/>
      <c r="BE576" s="8"/>
      <c r="BF576" s="8"/>
      <c r="BG576" s="8"/>
      <c r="BH576" s="8"/>
    </row>
    <row r="577" spans="2:60">
      <c r="B577" s="11"/>
      <c r="C577" s="12"/>
      <c r="D577" s="8"/>
      <c r="E577" s="13"/>
      <c r="F577" s="14"/>
      <c r="G577" s="13"/>
      <c r="H577" s="1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2">
        <v>1647</v>
      </c>
      <c r="AK577" s="118">
        <v>453</v>
      </c>
      <c r="AL577" s="119" t="s">
        <v>115</v>
      </c>
      <c r="AM577" s="119" t="s">
        <v>119</v>
      </c>
      <c r="AN577" s="119" t="s">
        <v>114</v>
      </c>
      <c r="AO577" s="119" t="s">
        <v>116</v>
      </c>
      <c r="AP577" s="119" t="s">
        <v>113</v>
      </c>
      <c r="AQ577" s="119" t="s">
        <v>118</v>
      </c>
      <c r="AR577" s="119" t="s">
        <v>122</v>
      </c>
      <c r="AS577" s="119" t="s">
        <v>123</v>
      </c>
      <c r="AT577" s="8"/>
      <c r="AU577" s="8">
        <f t="shared" si="69"/>
        <v>4</v>
      </c>
      <c r="AV577" s="8">
        <f t="shared" si="70"/>
        <v>64</v>
      </c>
      <c r="AW577" s="8">
        <f t="shared" si="71"/>
        <v>2</v>
      </c>
      <c r="AX577" s="8">
        <f t="shared" si="72"/>
        <v>8</v>
      </c>
      <c r="AY577" s="8">
        <f t="shared" si="73"/>
        <v>1</v>
      </c>
      <c r="AZ577" s="8">
        <f t="shared" si="74"/>
        <v>32</v>
      </c>
      <c r="BA577" s="8">
        <f t="shared" si="75"/>
        <v>512</v>
      </c>
      <c r="BB577" s="8">
        <f t="shared" si="76"/>
        <v>1024</v>
      </c>
      <c r="BC577" s="8">
        <f t="shared" si="77"/>
        <v>1647</v>
      </c>
      <c r="BD577" s="8"/>
      <c r="BE577" s="8"/>
      <c r="BF577" s="8"/>
      <c r="BG577" s="8"/>
      <c r="BH577" s="8"/>
    </row>
    <row r="578" spans="2:60">
      <c r="B578" s="11"/>
      <c r="C578" s="12"/>
      <c r="D578" s="8"/>
      <c r="E578" s="13"/>
      <c r="F578" s="14"/>
      <c r="G578" s="13"/>
      <c r="H578" s="1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2">
        <v>2415</v>
      </c>
      <c r="AK578" s="118">
        <v>454</v>
      </c>
      <c r="AL578" s="119" t="s">
        <v>115</v>
      </c>
      <c r="AM578" s="119" t="s">
        <v>119</v>
      </c>
      <c r="AN578" s="119" t="s">
        <v>114</v>
      </c>
      <c r="AO578" s="119" t="s">
        <v>116</v>
      </c>
      <c r="AP578" s="119" t="s">
        <v>113</v>
      </c>
      <c r="AQ578" s="119" t="s">
        <v>118</v>
      </c>
      <c r="AR578" s="119" t="s">
        <v>124</v>
      </c>
      <c r="AS578" s="119" t="s">
        <v>121</v>
      </c>
      <c r="AT578" s="8"/>
      <c r="AU578" s="8">
        <f t="shared" si="69"/>
        <v>4</v>
      </c>
      <c r="AV578" s="8">
        <f t="shared" si="70"/>
        <v>64</v>
      </c>
      <c r="AW578" s="8">
        <f t="shared" si="71"/>
        <v>2</v>
      </c>
      <c r="AX578" s="8">
        <f t="shared" si="72"/>
        <v>8</v>
      </c>
      <c r="AY578" s="8">
        <f t="shared" si="73"/>
        <v>1</v>
      </c>
      <c r="AZ578" s="8">
        <f t="shared" si="74"/>
        <v>32</v>
      </c>
      <c r="BA578" s="8">
        <f t="shared" si="75"/>
        <v>2048</v>
      </c>
      <c r="BB578" s="8">
        <f t="shared" si="76"/>
        <v>256</v>
      </c>
      <c r="BC578" s="8">
        <f t="shared" si="77"/>
        <v>2415</v>
      </c>
      <c r="BD578" s="8"/>
      <c r="BE578" s="8"/>
      <c r="BF578" s="8"/>
      <c r="BG578" s="8"/>
      <c r="BH578" s="8"/>
    </row>
    <row r="579" spans="2:60">
      <c r="B579" s="11"/>
      <c r="C579" s="12"/>
      <c r="D579" s="8"/>
      <c r="E579" s="13"/>
      <c r="F579" s="14"/>
      <c r="G579" s="13"/>
      <c r="H579" s="1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2">
        <v>1391</v>
      </c>
      <c r="AK579" s="118">
        <v>455</v>
      </c>
      <c r="AL579" s="119" t="s">
        <v>115</v>
      </c>
      <c r="AM579" s="119" t="s">
        <v>119</v>
      </c>
      <c r="AN579" s="119" t="s">
        <v>114</v>
      </c>
      <c r="AO579" s="119" t="s">
        <v>116</v>
      </c>
      <c r="AP579" s="119" t="s">
        <v>113</v>
      </c>
      <c r="AQ579" s="119" t="s">
        <v>118</v>
      </c>
      <c r="AR579" s="119" t="s">
        <v>121</v>
      </c>
      <c r="AS579" s="119" t="s">
        <v>123</v>
      </c>
      <c r="AT579" s="8"/>
      <c r="AU579" s="8">
        <f t="shared" si="69"/>
        <v>4</v>
      </c>
      <c r="AV579" s="8">
        <f t="shared" si="70"/>
        <v>64</v>
      </c>
      <c r="AW579" s="8">
        <f t="shared" si="71"/>
        <v>2</v>
      </c>
      <c r="AX579" s="8">
        <f t="shared" si="72"/>
        <v>8</v>
      </c>
      <c r="AY579" s="8">
        <f t="shared" si="73"/>
        <v>1</v>
      </c>
      <c r="AZ579" s="8">
        <f t="shared" si="74"/>
        <v>32</v>
      </c>
      <c r="BA579" s="8">
        <f t="shared" si="75"/>
        <v>256</v>
      </c>
      <c r="BB579" s="8">
        <f t="shared" si="76"/>
        <v>1024</v>
      </c>
      <c r="BC579" s="8">
        <f t="shared" si="77"/>
        <v>1391</v>
      </c>
      <c r="BD579" s="8"/>
      <c r="BE579" s="8"/>
      <c r="BF579" s="8"/>
      <c r="BG579" s="8"/>
      <c r="BH579" s="8"/>
    </row>
    <row r="580" spans="2:60">
      <c r="B580" s="11"/>
      <c r="C580" s="12"/>
      <c r="D580" s="8"/>
      <c r="E580" s="13"/>
      <c r="F580" s="14"/>
      <c r="G580" s="13"/>
      <c r="H580" s="1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2">
        <v>879</v>
      </c>
      <c r="AK580" s="118">
        <v>456</v>
      </c>
      <c r="AL580" s="119" t="s">
        <v>115</v>
      </c>
      <c r="AM580" s="119" t="s">
        <v>119</v>
      </c>
      <c r="AN580" s="119" t="s">
        <v>114</v>
      </c>
      <c r="AO580" s="119" t="s">
        <v>116</v>
      </c>
      <c r="AP580" s="119" t="s">
        <v>113</v>
      </c>
      <c r="AQ580" s="119" t="s">
        <v>118</v>
      </c>
      <c r="AR580" s="119" t="s">
        <v>121</v>
      </c>
      <c r="AS580" s="119" t="s">
        <v>122</v>
      </c>
      <c r="AT580" s="8"/>
      <c r="AU580" s="8">
        <f t="shared" si="69"/>
        <v>4</v>
      </c>
      <c r="AV580" s="8">
        <f t="shared" si="70"/>
        <v>64</v>
      </c>
      <c r="AW580" s="8">
        <f t="shared" si="71"/>
        <v>2</v>
      </c>
      <c r="AX580" s="8">
        <f t="shared" si="72"/>
        <v>8</v>
      </c>
      <c r="AY580" s="8">
        <f t="shared" si="73"/>
        <v>1</v>
      </c>
      <c r="AZ580" s="8">
        <f t="shared" si="74"/>
        <v>32</v>
      </c>
      <c r="BA580" s="8">
        <f t="shared" si="75"/>
        <v>256</v>
      </c>
      <c r="BB580" s="8">
        <f t="shared" si="76"/>
        <v>512</v>
      </c>
      <c r="BC580" s="8">
        <f t="shared" si="77"/>
        <v>879</v>
      </c>
      <c r="BD580" s="8"/>
      <c r="BE580" s="8"/>
      <c r="BF580" s="8"/>
      <c r="BG580" s="8"/>
      <c r="BH580" s="8"/>
    </row>
    <row r="581" spans="2:60">
      <c r="B581" s="11"/>
      <c r="C581" s="12"/>
      <c r="D581" s="8"/>
      <c r="E581" s="13"/>
      <c r="F581" s="14"/>
      <c r="G581" s="13"/>
      <c r="H581" s="15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2">
        <v>2287</v>
      </c>
      <c r="AK581" s="118">
        <v>457</v>
      </c>
      <c r="AL581" s="119" t="s">
        <v>115</v>
      </c>
      <c r="AM581" s="119" t="s">
        <v>119</v>
      </c>
      <c r="AN581" s="119" t="s">
        <v>114</v>
      </c>
      <c r="AO581" s="119" t="s">
        <v>116</v>
      </c>
      <c r="AP581" s="119" t="s">
        <v>113</v>
      </c>
      <c r="AQ581" s="119" t="s">
        <v>118</v>
      </c>
      <c r="AR581" s="119" t="s">
        <v>124</v>
      </c>
      <c r="AS581" s="119" t="s">
        <v>120</v>
      </c>
      <c r="AT581" s="8"/>
      <c r="AU581" s="8">
        <f t="shared" si="69"/>
        <v>4</v>
      </c>
      <c r="AV581" s="8">
        <f t="shared" si="70"/>
        <v>64</v>
      </c>
      <c r="AW581" s="8">
        <f t="shared" si="71"/>
        <v>2</v>
      </c>
      <c r="AX581" s="8">
        <f t="shared" si="72"/>
        <v>8</v>
      </c>
      <c r="AY581" s="8">
        <f t="shared" si="73"/>
        <v>1</v>
      </c>
      <c r="AZ581" s="8">
        <f t="shared" si="74"/>
        <v>32</v>
      </c>
      <c r="BA581" s="8">
        <f t="shared" si="75"/>
        <v>2048</v>
      </c>
      <c r="BB581" s="8">
        <f t="shared" si="76"/>
        <v>128</v>
      </c>
      <c r="BC581" s="8">
        <f t="shared" si="77"/>
        <v>2287</v>
      </c>
      <c r="BD581" s="8"/>
      <c r="BE581" s="8"/>
      <c r="BF581" s="8"/>
      <c r="BG581" s="8"/>
      <c r="BH581" s="8"/>
    </row>
    <row r="582" spans="2:60">
      <c r="B582" s="11"/>
      <c r="C582" s="12"/>
      <c r="D582" s="8"/>
      <c r="E582" s="13"/>
      <c r="F582" s="14"/>
      <c r="G582" s="13"/>
      <c r="H582" s="1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2">
        <v>1263</v>
      </c>
      <c r="AK582" s="118">
        <v>458</v>
      </c>
      <c r="AL582" s="119" t="s">
        <v>120</v>
      </c>
      <c r="AM582" s="119" t="s">
        <v>119</v>
      </c>
      <c r="AN582" s="119" t="s">
        <v>114</v>
      </c>
      <c r="AO582" s="119" t="s">
        <v>115</v>
      </c>
      <c r="AP582" s="119" t="s">
        <v>113</v>
      </c>
      <c r="AQ582" s="119" t="s">
        <v>118</v>
      </c>
      <c r="AR582" s="119" t="s">
        <v>116</v>
      </c>
      <c r="AS582" s="119" t="s">
        <v>123</v>
      </c>
      <c r="AT582" s="8"/>
      <c r="AU582" s="8">
        <f t="shared" si="69"/>
        <v>128</v>
      </c>
      <c r="AV582" s="8">
        <f t="shared" si="70"/>
        <v>64</v>
      </c>
      <c r="AW582" s="8">
        <f t="shared" si="71"/>
        <v>2</v>
      </c>
      <c r="AX582" s="8">
        <f t="shared" si="72"/>
        <v>4</v>
      </c>
      <c r="AY582" s="8">
        <f t="shared" si="73"/>
        <v>1</v>
      </c>
      <c r="AZ582" s="8">
        <f t="shared" si="74"/>
        <v>32</v>
      </c>
      <c r="BA582" s="8">
        <f t="shared" si="75"/>
        <v>8</v>
      </c>
      <c r="BB582" s="8">
        <f t="shared" si="76"/>
        <v>1024</v>
      </c>
      <c r="BC582" s="8">
        <f t="shared" si="77"/>
        <v>1263</v>
      </c>
      <c r="BD582" s="8"/>
      <c r="BE582" s="8"/>
      <c r="BF582" s="8"/>
      <c r="BG582" s="8"/>
      <c r="BH582" s="8"/>
    </row>
    <row r="583" spans="2:60">
      <c r="B583" s="11"/>
      <c r="C583" s="12"/>
      <c r="D583" s="8"/>
      <c r="E583" s="13"/>
      <c r="F583" s="14"/>
      <c r="G583" s="13"/>
      <c r="H583" s="1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2">
        <v>751</v>
      </c>
      <c r="AK583" s="118">
        <v>459</v>
      </c>
      <c r="AL583" s="119" t="s">
        <v>120</v>
      </c>
      <c r="AM583" s="119" t="s">
        <v>119</v>
      </c>
      <c r="AN583" s="119" t="s">
        <v>114</v>
      </c>
      <c r="AO583" s="119" t="s">
        <v>115</v>
      </c>
      <c r="AP583" s="119" t="s">
        <v>113</v>
      </c>
      <c r="AQ583" s="119" t="s">
        <v>118</v>
      </c>
      <c r="AR583" s="119" t="s">
        <v>116</v>
      </c>
      <c r="AS583" s="119" t="s">
        <v>122</v>
      </c>
      <c r="AT583" s="8"/>
      <c r="AU583" s="8">
        <f t="shared" si="69"/>
        <v>128</v>
      </c>
      <c r="AV583" s="8">
        <f t="shared" si="70"/>
        <v>64</v>
      </c>
      <c r="AW583" s="8">
        <f t="shared" si="71"/>
        <v>2</v>
      </c>
      <c r="AX583" s="8">
        <f t="shared" si="72"/>
        <v>4</v>
      </c>
      <c r="AY583" s="8">
        <f t="shared" si="73"/>
        <v>1</v>
      </c>
      <c r="AZ583" s="8">
        <f t="shared" si="74"/>
        <v>32</v>
      </c>
      <c r="BA583" s="8">
        <f t="shared" si="75"/>
        <v>8</v>
      </c>
      <c r="BB583" s="8">
        <f t="shared" si="76"/>
        <v>512</v>
      </c>
      <c r="BC583" s="8">
        <f t="shared" si="77"/>
        <v>751</v>
      </c>
      <c r="BD583" s="8"/>
      <c r="BE583" s="8"/>
      <c r="BF583" s="8"/>
      <c r="BG583" s="8"/>
      <c r="BH583" s="8"/>
    </row>
    <row r="584" spans="2:60">
      <c r="B584" s="11"/>
      <c r="C584" s="12"/>
      <c r="D584" s="8"/>
      <c r="E584" s="13"/>
      <c r="F584" s="14"/>
      <c r="G584" s="13"/>
      <c r="H584" s="1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2">
        <v>495</v>
      </c>
      <c r="AK584" s="118">
        <v>460</v>
      </c>
      <c r="AL584" s="119" t="s">
        <v>120</v>
      </c>
      <c r="AM584" s="119" t="s">
        <v>119</v>
      </c>
      <c r="AN584" s="119" t="s">
        <v>114</v>
      </c>
      <c r="AO584" s="119" t="s">
        <v>115</v>
      </c>
      <c r="AP584" s="119" t="s">
        <v>113</v>
      </c>
      <c r="AQ584" s="119" t="s">
        <v>118</v>
      </c>
      <c r="AR584" s="119" t="s">
        <v>116</v>
      </c>
      <c r="AS584" s="119" t="s">
        <v>121</v>
      </c>
      <c r="AT584" s="8"/>
      <c r="AU584" s="8">
        <f t="shared" si="69"/>
        <v>128</v>
      </c>
      <c r="AV584" s="8">
        <f t="shared" si="70"/>
        <v>64</v>
      </c>
      <c r="AW584" s="8">
        <f t="shared" si="71"/>
        <v>2</v>
      </c>
      <c r="AX584" s="8">
        <f t="shared" si="72"/>
        <v>4</v>
      </c>
      <c r="AY584" s="8">
        <f t="shared" si="73"/>
        <v>1</v>
      </c>
      <c r="AZ584" s="8">
        <f t="shared" si="74"/>
        <v>32</v>
      </c>
      <c r="BA584" s="8">
        <f t="shared" si="75"/>
        <v>8</v>
      </c>
      <c r="BB584" s="8">
        <f t="shared" si="76"/>
        <v>256</v>
      </c>
      <c r="BC584" s="8">
        <f t="shared" si="77"/>
        <v>495</v>
      </c>
      <c r="BD584" s="8"/>
      <c r="BE584" s="8"/>
      <c r="BF584" s="8"/>
      <c r="BG584" s="8"/>
      <c r="BH584" s="8"/>
    </row>
    <row r="585" spans="2:60">
      <c r="B585" s="11"/>
      <c r="C585" s="12"/>
      <c r="D585" s="8"/>
      <c r="E585" s="13"/>
      <c r="F585" s="14"/>
      <c r="G585" s="13"/>
      <c r="H585" s="15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2">
        <v>3615</v>
      </c>
      <c r="AK585" s="118">
        <v>461</v>
      </c>
      <c r="AL585" s="119" t="s">
        <v>117</v>
      </c>
      <c r="AM585" s="119" t="s">
        <v>122</v>
      </c>
      <c r="AN585" s="119" t="s">
        <v>114</v>
      </c>
      <c r="AO585" s="119" t="s">
        <v>115</v>
      </c>
      <c r="AP585" s="119" t="s">
        <v>113</v>
      </c>
      <c r="AQ585" s="119" t="s">
        <v>116</v>
      </c>
      <c r="AR585" s="119" t="s">
        <v>124</v>
      </c>
      <c r="AS585" s="119" t="s">
        <v>123</v>
      </c>
      <c r="AT585" s="8"/>
      <c r="AU585" s="8">
        <f t="shared" si="69"/>
        <v>16</v>
      </c>
      <c r="AV585" s="8">
        <f t="shared" si="70"/>
        <v>512</v>
      </c>
      <c r="AW585" s="8">
        <f t="shared" si="71"/>
        <v>2</v>
      </c>
      <c r="AX585" s="8">
        <f t="shared" si="72"/>
        <v>4</v>
      </c>
      <c r="AY585" s="8">
        <f t="shared" si="73"/>
        <v>1</v>
      </c>
      <c r="AZ585" s="8">
        <f t="shared" si="74"/>
        <v>8</v>
      </c>
      <c r="BA585" s="8">
        <f t="shared" si="75"/>
        <v>2048</v>
      </c>
      <c r="BB585" s="8">
        <f t="shared" si="76"/>
        <v>1024</v>
      </c>
      <c r="BC585" s="8">
        <f t="shared" si="77"/>
        <v>3615</v>
      </c>
      <c r="BD585" s="8"/>
      <c r="BE585" s="8"/>
      <c r="BF585" s="8"/>
      <c r="BG585" s="8"/>
      <c r="BH585" s="8"/>
    </row>
    <row r="586" spans="2:60">
      <c r="B586" s="11"/>
      <c r="C586" s="12"/>
      <c r="D586" s="8"/>
      <c r="E586" s="13"/>
      <c r="F586" s="14"/>
      <c r="G586" s="13"/>
      <c r="H586" s="15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2">
        <v>3359</v>
      </c>
      <c r="AK586" s="118">
        <v>462</v>
      </c>
      <c r="AL586" s="119" t="s">
        <v>117</v>
      </c>
      <c r="AM586" s="119" t="s">
        <v>121</v>
      </c>
      <c r="AN586" s="119" t="s">
        <v>114</v>
      </c>
      <c r="AO586" s="119" t="s">
        <v>115</v>
      </c>
      <c r="AP586" s="119" t="s">
        <v>113</v>
      </c>
      <c r="AQ586" s="119" t="s">
        <v>116</v>
      </c>
      <c r="AR586" s="119" t="s">
        <v>124</v>
      </c>
      <c r="AS586" s="119" t="s">
        <v>123</v>
      </c>
      <c r="AT586" s="8"/>
      <c r="AU586" s="8">
        <f t="shared" si="69"/>
        <v>16</v>
      </c>
      <c r="AV586" s="8">
        <f t="shared" si="70"/>
        <v>256</v>
      </c>
      <c r="AW586" s="8">
        <f t="shared" si="71"/>
        <v>2</v>
      </c>
      <c r="AX586" s="8">
        <f t="shared" si="72"/>
        <v>4</v>
      </c>
      <c r="AY586" s="8">
        <f t="shared" si="73"/>
        <v>1</v>
      </c>
      <c r="AZ586" s="8">
        <f t="shared" si="74"/>
        <v>8</v>
      </c>
      <c r="BA586" s="8">
        <f t="shared" si="75"/>
        <v>2048</v>
      </c>
      <c r="BB586" s="8">
        <f t="shared" si="76"/>
        <v>1024</v>
      </c>
      <c r="BC586" s="8">
        <f t="shared" si="77"/>
        <v>3359</v>
      </c>
      <c r="BD586" s="8"/>
      <c r="BE586" s="8"/>
      <c r="BF586" s="8"/>
      <c r="BG586" s="8"/>
      <c r="BH586" s="8"/>
    </row>
    <row r="587" spans="2:60">
      <c r="B587" s="11"/>
      <c r="C587" s="12"/>
      <c r="D587" s="8"/>
      <c r="E587" s="13"/>
      <c r="F587" s="14"/>
      <c r="G587" s="13"/>
      <c r="H587" s="15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2">
        <v>2847</v>
      </c>
      <c r="AK587" s="118">
        <v>463</v>
      </c>
      <c r="AL587" s="119" t="s">
        <v>117</v>
      </c>
      <c r="AM587" s="119" t="s">
        <v>122</v>
      </c>
      <c r="AN587" s="119" t="s">
        <v>114</v>
      </c>
      <c r="AO587" s="119" t="s">
        <v>115</v>
      </c>
      <c r="AP587" s="119" t="s">
        <v>113</v>
      </c>
      <c r="AQ587" s="119" t="s">
        <v>116</v>
      </c>
      <c r="AR587" s="119" t="s">
        <v>124</v>
      </c>
      <c r="AS587" s="119" t="s">
        <v>121</v>
      </c>
      <c r="AT587" s="8"/>
      <c r="AU587" s="8">
        <f t="shared" si="69"/>
        <v>16</v>
      </c>
      <c r="AV587" s="8">
        <f t="shared" si="70"/>
        <v>512</v>
      </c>
      <c r="AW587" s="8">
        <f t="shared" si="71"/>
        <v>2</v>
      </c>
      <c r="AX587" s="8">
        <f t="shared" si="72"/>
        <v>4</v>
      </c>
      <c r="AY587" s="8">
        <f t="shared" si="73"/>
        <v>1</v>
      </c>
      <c r="AZ587" s="8">
        <f t="shared" si="74"/>
        <v>8</v>
      </c>
      <c r="BA587" s="8">
        <f t="shared" si="75"/>
        <v>2048</v>
      </c>
      <c r="BB587" s="8">
        <f t="shared" si="76"/>
        <v>256</v>
      </c>
      <c r="BC587" s="8">
        <f t="shared" si="77"/>
        <v>2847</v>
      </c>
      <c r="BD587" s="8"/>
      <c r="BE587" s="8"/>
      <c r="BF587" s="8"/>
      <c r="BG587" s="8"/>
      <c r="BH587" s="8"/>
    </row>
    <row r="588" spans="2:60">
      <c r="B588" s="11"/>
      <c r="C588" s="12"/>
      <c r="D588" s="8"/>
      <c r="E588" s="13"/>
      <c r="F588" s="14"/>
      <c r="G588" s="13"/>
      <c r="H588" s="15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2">
        <v>1823</v>
      </c>
      <c r="AK588" s="118">
        <v>464</v>
      </c>
      <c r="AL588" s="119" t="s">
        <v>117</v>
      </c>
      <c r="AM588" s="119" t="s">
        <v>122</v>
      </c>
      <c r="AN588" s="119" t="s">
        <v>114</v>
      </c>
      <c r="AO588" s="119" t="s">
        <v>115</v>
      </c>
      <c r="AP588" s="119" t="s">
        <v>113</v>
      </c>
      <c r="AQ588" s="119" t="s">
        <v>116</v>
      </c>
      <c r="AR588" s="119" t="s">
        <v>121</v>
      </c>
      <c r="AS588" s="119" t="s">
        <v>123</v>
      </c>
      <c r="AT588" s="8"/>
      <c r="AU588" s="8">
        <f t="shared" si="69"/>
        <v>16</v>
      </c>
      <c r="AV588" s="8">
        <f t="shared" si="70"/>
        <v>512</v>
      </c>
      <c r="AW588" s="8">
        <f t="shared" si="71"/>
        <v>2</v>
      </c>
      <c r="AX588" s="8">
        <f t="shared" si="72"/>
        <v>4</v>
      </c>
      <c r="AY588" s="8">
        <f t="shared" si="73"/>
        <v>1</v>
      </c>
      <c r="AZ588" s="8">
        <f t="shared" si="74"/>
        <v>8</v>
      </c>
      <c r="BA588" s="8">
        <f t="shared" si="75"/>
        <v>256</v>
      </c>
      <c r="BB588" s="8">
        <f t="shared" si="76"/>
        <v>1024</v>
      </c>
      <c r="BC588" s="8">
        <f t="shared" si="77"/>
        <v>1823</v>
      </c>
      <c r="BD588" s="8"/>
      <c r="BE588" s="8"/>
      <c r="BF588" s="8"/>
      <c r="BG588" s="8"/>
      <c r="BH588" s="8"/>
    </row>
    <row r="589" spans="2:60">
      <c r="B589" s="11"/>
      <c r="C589" s="12"/>
      <c r="D589" s="8"/>
      <c r="E589" s="13"/>
      <c r="F589" s="14"/>
      <c r="G589" s="13"/>
      <c r="H589" s="15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2">
        <v>3231</v>
      </c>
      <c r="AK589" s="118">
        <v>465</v>
      </c>
      <c r="AL589" s="119" t="s">
        <v>120</v>
      </c>
      <c r="AM589" s="119" t="s">
        <v>117</v>
      </c>
      <c r="AN589" s="119" t="s">
        <v>114</v>
      </c>
      <c r="AO589" s="119" t="s">
        <v>115</v>
      </c>
      <c r="AP589" s="119" t="s">
        <v>113</v>
      </c>
      <c r="AQ589" s="119" t="s">
        <v>116</v>
      </c>
      <c r="AR589" s="119" t="s">
        <v>124</v>
      </c>
      <c r="AS589" s="119" t="s">
        <v>123</v>
      </c>
      <c r="AT589" s="8"/>
      <c r="AU589" s="8">
        <f t="shared" si="69"/>
        <v>128</v>
      </c>
      <c r="AV589" s="8">
        <f t="shared" si="70"/>
        <v>16</v>
      </c>
      <c r="AW589" s="8">
        <f t="shared" si="71"/>
        <v>2</v>
      </c>
      <c r="AX589" s="8">
        <f t="shared" si="72"/>
        <v>4</v>
      </c>
      <c r="AY589" s="8">
        <f t="shared" si="73"/>
        <v>1</v>
      </c>
      <c r="AZ589" s="8">
        <f t="shared" si="74"/>
        <v>8</v>
      </c>
      <c r="BA589" s="8">
        <f t="shared" si="75"/>
        <v>2048</v>
      </c>
      <c r="BB589" s="8">
        <f t="shared" si="76"/>
        <v>1024</v>
      </c>
      <c r="BC589" s="8">
        <f t="shared" si="77"/>
        <v>3231</v>
      </c>
      <c r="BD589" s="8"/>
      <c r="BE589" s="8"/>
      <c r="BF589" s="8"/>
      <c r="BG589" s="8"/>
      <c r="BH589" s="8"/>
    </row>
    <row r="590" spans="2:60">
      <c r="B590" s="11"/>
      <c r="C590" s="12"/>
      <c r="D590" s="8"/>
      <c r="E590" s="13"/>
      <c r="F590" s="14"/>
      <c r="G590" s="13"/>
      <c r="H590" s="15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2">
        <v>2719</v>
      </c>
      <c r="AK590" s="118">
        <v>466</v>
      </c>
      <c r="AL590" s="119" t="s">
        <v>120</v>
      </c>
      <c r="AM590" s="119" t="s">
        <v>122</v>
      </c>
      <c r="AN590" s="119" t="s">
        <v>114</v>
      </c>
      <c r="AO590" s="119" t="s">
        <v>115</v>
      </c>
      <c r="AP590" s="119" t="s">
        <v>113</v>
      </c>
      <c r="AQ590" s="119" t="s">
        <v>116</v>
      </c>
      <c r="AR590" s="119" t="s">
        <v>124</v>
      </c>
      <c r="AS590" s="119" t="s">
        <v>117</v>
      </c>
      <c r="AT590" s="8"/>
      <c r="AU590" s="8">
        <f t="shared" si="69"/>
        <v>128</v>
      </c>
      <c r="AV590" s="8">
        <f t="shared" si="70"/>
        <v>512</v>
      </c>
      <c r="AW590" s="8">
        <f t="shared" si="71"/>
        <v>2</v>
      </c>
      <c r="AX590" s="8">
        <f t="shared" si="72"/>
        <v>4</v>
      </c>
      <c r="AY590" s="8">
        <f t="shared" si="73"/>
        <v>1</v>
      </c>
      <c r="AZ590" s="8">
        <f t="shared" si="74"/>
        <v>8</v>
      </c>
      <c r="BA590" s="8">
        <f t="shared" si="75"/>
        <v>2048</v>
      </c>
      <c r="BB590" s="8">
        <f t="shared" si="76"/>
        <v>16</v>
      </c>
      <c r="BC590" s="8">
        <f t="shared" si="77"/>
        <v>2719</v>
      </c>
      <c r="BD590" s="8"/>
      <c r="BE590" s="8"/>
      <c r="BF590" s="8"/>
      <c r="BG590" s="8"/>
      <c r="BH590" s="8"/>
    </row>
    <row r="591" spans="2:60">
      <c r="B591" s="11"/>
      <c r="C591" s="12"/>
      <c r="D591" s="8"/>
      <c r="E591" s="13"/>
      <c r="F591" s="14"/>
      <c r="G591" s="13"/>
      <c r="H591" s="15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2">
        <v>1695</v>
      </c>
      <c r="AK591" s="118">
        <v>467</v>
      </c>
      <c r="AL591" s="119" t="s">
        <v>120</v>
      </c>
      <c r="AM591" s="119" t="s">
        <v>122</v>
      </c>
      <c r="AN591" s="119" t="s">
        <v>114</v>
      </c>
      <c r="AO591" s="119" t="s">
        <v>115</v>
      </c>
      <c r="AP591" s="119" t="s">
        <v>113</v>
      </c>
      <c r="AQ591" s="119" t="s">
        <v>116</v>
      </c>
      <c r="AR591" s="119" t="s">
        <v>117</v>
      </c>
      <c r="AS591" s="119" t="s">
        <v>123</v>
      </c>
      <c r="AT591" s="8"/>
      <c r="AU591" s="8">
        <f t="shared" si="69"/>
        <v>128</v>
      </c>
      <c r="AV591" s="8">
        <f t="shared" si="70"/>
        <v>512</v>
      </c>
      <c r="AW591" s="8">
        <f t="shared" si="71"/>
        <v>2</v>
      </c>
      <c r="AX591" s="8">
        <f t="shared" si="72"/>
        <v>4</v>
      </c>
      <c r="AY591" s="8">
        <f t="shared" si="73"/>
        <v>1</v>
      </c>
      <c r="AZ591" s="8">
        <f t="shared" si="74"/>
        <v>8</v>
      </c>
      <c r="BA591" s="8">
        <f t="shared" si="75"/>
        <v>16</v>
      </c>
      <c r="BB591" s="8">
        <f t="shared" si="76"/>
        <v>1024</v>
      </c>
      <c r="BC591" s="8">
        <f t="shared" si="77"/>
        <v>1695</v>
      </c>
      <c r="BD591" s="8"/>
      <c r="BE591" s="8"/>
      <c r="BF591" s="8"/>
      <c r="BG591" s="8"/>
      <c r="BH591" s="8"/>
    </row>
    <row r="592" spans="2:60">
      <c r="B592" s="11"/>
      <c r="C592" s="12"/>
      <c r="D592" s="8"/>
      <c r="E592" s="13"/>
      <c r="F592" s="14"/>
      <c r="G592" s="13"/>
      <c r="H592" s="15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2">
        <v>2463</v>
      </c>
      <c r="AK592" s="118">
        <v>468</v>
      </c>
      <c r="AL592" s="119" t="s">
        <v>120</v>
      </c>
      <c r="AM592" s="119" t="s">
        <v>117</v>
      </c>
      <c r="AN592" s="119" t="s">
        <v>114</v>
      </c>
      <c r="AO592" s="119" t="s">
        <v>115</v>
      </c>
      <c r="AP592" s="119" t="s">
        <v>113</v>
      </c>
      <c r="AQ592" s="119" t="s">
        <v>116</v>
      </c>
      <c r="AR592" s="119" t="s">
        <v>124</v>
      </c>
      <c r="AS592" s="119" t="s">
        <v>121</v>
      </c>
      <c r="AT592" s="8"/>
      <c r="AU592" s="8">
        <f t="shared" si="69"/>
        <v>128</v>
      </c>
      <c r="AV592" s="8">
        <f t="shared" si="70"/>
        <v>16</v>
      </c>
      <c r="AW592" s="8">
        <f t="shared" si="71"/>
        <v>2</v>
      </c>
      <c r="AX592" s="8">
        <f t="shared" si="72"/>
        <v>4</v>
      </c>
      <c r="AY592" s="8">
        <f t="shared" si="73"/>
        <v>1</v>
      </c>
      <c r="AZ592" s="8">
        <f t="shared" si="74"/>
        <v>8</v>
      </c>
      <c r="BA592" s="8">
        <f t="shared" si="75"/>
        <v>2048</v>
      </c>
      <c r="BB592" s="8">
        <f t="shared" si="76"/>
        <v>256</v>
      </c>
      <c r="BC592" s="8">
        <f t="shared" si="77"/>
        <v>2463</v>
      </c>
      <c r="BD592" s="8"/>
      <c r="BE592" s="8"/>
      <c r="BF592" s="8"/>
      <c r="BG592" s="8"/>
      <c r="BH592" s="8"/>
    </row>
    <row r="593" spans="2:60">
      <c r="B593" s="11"/>
      <c r="C593" s="12"/>
      <c r="D593" s="8"/>
      <c r="E593" s="13"/>
      <c r="F593" s="14"/>
      <c r="G593" s="13"/>
      <c r="H593" s="1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2">
        <v>1439</v>
      </c>
      <c r="AK593" s="118">
        <v>469</v>
      </c>
      <c r="AL593" s="119" t="s">
        <v>120</v>
      </c>
      <c r="AM593" s="119" t="s">
        <v>117</v>
      </c>
      <c r="AN593" s="119" t="s">
        <v>114</v>
      </c>
      <c r="AO593" s="119" t="s">
        <v>115</v>
      </c>
      <c r="AP593" s="119" t="s">
        <v>113</v>
      </c>
      <c r="AQ593" s="119" t="s">
        <v>116</v>
      </c>
      <c r="AR593" s="119" t="s">
        <v>121</v>
      </c>
      <c r="AS593" s="119" t="s">
        <v>123</v>
      </c>
      <c r="AT593" s="8"/>
      <c r="AU593" s="8">
        <f t="shared" si="69"/>
        <v>128</v>
      </c>
      <c r="AV593" s="8">
        <f t="shared" si="70"/>
        <v>16</v>
      </c>
      <c r="AW593" s="8">
        <f t="shared" si="71"/>
        <v>2</v>
      </c>
      <c r="AX593" s="8">
        <f t="shared" si="72"/>
        <v>4</v>
      </c>
      <c r="AY593" s="8">
        <f t="shared" si="73"/>
        <v>1</v>
      </c>
      <c r="AZ593" s="8">
        <f t="shared" si="74"/>
        <v>8</v>
      </c>
      <c r="BA593" s="8">
        <f t="shared" si="75"/>
        <v>256</v>
      </c>
      <c r="BB593" s="8">
        <f t="shared" si="76"/>
        <v>1024</v>
      </c>
      <c r="BC593" s="8">
        <f t="shared" si="77"/>
        <v>1439</v>
      </c>
      <c r="BD593" s="8"/>
      <c r="BE593" s="8"/>
      <c r="BF593" s="8"/>
      <c r="BG593" s="8"/>
      <c r="BH593" s="8"/>
    </row>
    <row r="594" spans="2:60">
      <c r="B594" s="11"/>
      <c r="C594" s="12"/>
      <c r="D594" s="8"/>
      <c r="E594" s="13"/>
      <c r="F594" s="14"/>
      <c r="G594" s="13"/>
      <c r="H594" s="1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2">
        <v>927</v>
      </c>
      <c r="AK594" s="118">
        <v>470</v>
      </c>
      <c r="AL594" s="119" t="s">
        <v>120</v>
      </c>
      <c r="AM594" s="119" t="s">
        <v>122</v>
      </c>
      <c r="AN594" s="119" t="s">
        <v>114</v>
      </c>
      <c r="AO594" s="119" t="s">
        <v>115</v>
      </c>
      <c r="AP594" s="119" t="s">
        <v>113</v>
      </c>
      <c r="AQ594" s="119" t="s">
        <v>116</v>
      </c>
      <c r="AR594" s="119" t="s">
        <v>117</v>
      </c>
      <c r="AS594" s="119" t="s">
        <v>121</v>
      </c>
      <c r="AT594" s="8"/>
      <c r="AU594" s="8">
        <f t="shared" si="69"/>
        <v>128</v>
      </c>
      <c r="AV594" s="8">
        <f t="shared" si="70"/>
        <v>512</v>
      </c>
      <c r="AW594" s="8">
        <f t="shared" si="71"/>
        <v>2</v>
      </c>
      <c r="AX594" s="8">
        <f t="shared" si="72"/>
        <v>4</v>
      </c>
      <c r="AY594" s="8">
        <f t="shared" si="73"/>
        <v>1</v>
      </c>
      <c r="AZ594" s="8">
        <f t="shared" si="74"/>
        <v>8</v>
      </c>
      <c r="BA594" s="8">
        <f t="shared" si="75"/>
        <v>16</v>
      </c>
      <c r="BB594" s="8">
        <f t="shared" si="76"/>
        <v>256</v>
      </c>
      <c r="BC594" s="8">
        <f t="shared" si="77"/>
        <v>927</v>
      </c>
      <c r="BD594" s="8"/>
      <c r="BE594" s="8"/>
      <c r="BF594" s="8"/>
      <c r="BG594" s="8"/>
      <c r="BH594" s="8"/>
    </row>
    <row r="595" spans="2:60">
      <c r="B595" s="11"/>
      <c r="C595" s="12"/>
      <c r="D595" s="8"/>
      <c r="E595" s="13"/>
      <c r="F595" s="14"/>
      <c r="G595" s="13"/>
      <c r="H595" s="15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2">
        <v>3167</v>
      </c>
      <c r="AK595" s="118">
        <v>471</v>
      </c>
      <c r="AL595" s="119" t="s">
        <v>117</v>
      </c>
      <c r="AM595" s="119" t="s">
        <v>119</v>
      </c>
      <c r="AN595" s="119" t="s">
        <v>114</v>
      </c>
      <c r="AO595" s="119" t="s">
        <v>115</v>
      </c>
      <c r="AP595" s="119" t="s">
        <v>113</v>
      </c>
      <c r="AQ595" s="119" t="s">
        <v>116</v>
      </c>
      <c r="AR595" s="119" t="s">
        <v>124</v>
      </c>
      <c r="AS595" s="119" t="s">
        <v>123</v>
      </c>
      <c r="AT595" s="8"/>
      <c r="AU595" s="8">
        <f t="shared" si="69"/>
        <v>16</v>
      </c>
      <c r="AV595" s="8">
        <f t="shared" si="70"/>
        <v>64</v>
      </c>
      <c r="AW595" s="8">
        <f t="shared" si="71"/>
        <v>2</v>
      </c>
      <c r="AX595" s="8">
        <f t="shared" si="72"/>
        <v>4</v>
      </c>
      <c r="AY595" s="8">
        <f t="shared" si="73"/>
        <v>1</v>
      </c>
      <c r="AZ595" s="8">
        <f t="shared" si="74"/>
        <v>8</v>
      </c>
      <c r="BA595" s="8">
        <f t="shared" si="75"/>
        <v>2048</v>
      </c>
      <c r="BB595" s="8">
        <f t="shared" si="76"/>
        <v>1024</v>
      </c>
      <c r="BC595" s="8">
        <f t="shared" si="77"/>
        <v>3167</v>
      </c>
      <c r="BD595" s="8"/>
      <c r="BE595" s="8"/>
      <c r="BF595" s="8"/>
      <c r="BG595" s="8"/>
      <c r="BH595" s="8"/>
    </row>
    <row r="596" spans="2:60">
      <c r="B596" s="11"/>
      <c r="C596" s="12"/>
      <c r="D596" s="8"/>
      <c r="E596" s="13"/>
      <c r="F596" s="14"/>
      <c r="G596" s="13"/>
      <c r="H596" s="15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2">
        <v>2655</v>
      </c>
      <c r="AK596" s="118">
        <v>472</v>
      </c>
      <c r="AL596" s="119" t="s">
        <v>117</v>
      </c>
      <c r="AM596" s="119" t="s">
        <v>119</v>
      </c>
      <c r="AN596" s="119" t="s">
        <v>114</v>
      </c>
      <c r="AO596" s="119" t="s">
        <v>115</v>
      </c>
      <c r="AP596" s="119" t="s">
        <v>113</v>
      </c>
      <c r="AQ596" s="119" t="s">
        <v>116</v>
      </c>
      <c r="AR596" s="119" t="s">
        <v>124</v>
      </c>
      <c r="AS596" s="119" t="s">
        <v>122</v>
      </c>
      <c r="AT596" s="8"/>
      <c r="AU596" s="8">
        <f t="shared" si="69"/>
        <v>16</v>
      </c>
      <c r="AV596" s="8">
        <f t="shared" si="70"/>
        <v>64</v>
      </c>
      <c r="AW596" s="8">
        <f t="shared" si="71"/>
        <v>2</v>
      </c>
      <c r="AX596" s="8">
        <f t="shared" si="72"/>
        <v>4</v>
      </c>
      <c r="AY596" s="8">
        <f t="shared" si="73"/>
        <v>1</v>
      </c>
      <c r="AZ596" s="8">
        <f t="shared" si="74"/>
        <v>8</v>
      </c>
      <c r="BA596" s="8">
        <f t="shared" si="75"/>
        <v>2048</v>
      </c>
      <c r="BB596" s="8">
        <f t="shared" si="76"/>
        <v>512</v>
      </c>
      <c r="BC596" s="8">
        <f t="shared" si="77"/>
        <v>2655</v>
      </c>
      <c r="BD596" s="8"/>
      <c r="BE596" s="8"/>
      <c r="BF596" s="8"/>
      <c r="BG596" s="8"/>
      <c r="BH596" s="8"/>
    </row>
    <row r="597" spans="2:60">
      <c r="B597" s="11"/>
      <c r="C597" s="12"/>
      <c r="D597" s="8"/>
      <c r="E597" s="13"/>
      <c r="F597" s="14"/>
      <c r="G597" s="13"/>
      <c r="H597" s="1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2">
        <v>1631</v>
      </c>
      <c r="AK597" s="118">
        <v>473</v>
      </c>
      <c r="AL597" s="119" t="s">
        <v>117</v>
      </c>
      <c r="AM597" s="119" t="s">
        <v>119</v>
      </c>
      <c r="AN597" s="119" t="s">
        <v>114</v>
      </c>
      <c r="AO597" s="119" t="s">
        <v>115</v>
      </c>
      <c r="AP597" s="119" t="s">
        <v>113</v>
      </c>
      <c r="AQ597" s="119" t="s">
        <v>116</v>
      </c>
      <c r="AR597" s="119" t="s">
        <v>122</v>
      </c>
      <c r="AS597" s="119" t="s">
        <v>123</v>
      </c>
      <c r="AT597" s="8"/>
      <c r="AU597" s="8">
        <f t="shared" si="69"/>
        <v>16</v>
      </c>
      <c r="AV597" s="8">
        <f t="shared" si="70"/>
        <v>64</v>
      </c>
      <c r="AW597" s="8">
        <f t="shared" si="71"/>
        <v>2</v>
      </c>
      <c r="AX597" s="8">
        <f t="shared" si="72"/>
        <v>4</v>
      </c>
      <c r="AY597" s="8">
        <f t="shared" si="73"/>
        <v>1</v>
      </c>
      <c r="AZ597" s="8">
        <f t="shared" si="74"/>
        <v>8</v>
      </c>
      <c r="BA597" s="8">
        <f t="shared" si="75"/>
        <v>512</v>
      </c>
      <c r="BB597" s="8">
        <f t="shared" si="76"/>
        <v>1024</v>
      </c>
      <c r="BC597" s="8">
        <f t="shared" si="77"/>
        <v>1631</v>
      </c>
      <c r="BD597" s="8"/>
      <c r="BE597" s="8"/>
      <c r="BF597" s="8"/>
      <c r="BG597" s="8"/>
      <c r="BH597" s="8"/>
    </row>
    <row r="598" spans="2:60">
      <c r="B598" s="11"/>
      <c r="C598" s="12"/>
      <c r="D598" s="8"/>
      <c r="E598" s="13"/>
      <c r="F598" s="14"/>
      <c r="G598" s="13"/>
      <c r="H598" s="15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2">
        <v>2399</v>
      </c>
      <c r="AK598" s="118">
        <v>474</v>
      </c>
      <c r="AL598" s="119" t="s">
        <v>117</v>
      </c>
      <c r="AM598" s="119" t="s">
        <v>119</v>
      </c>
      <c r="AN598" s="119" t="s">
        <v>114</v>
      </c>
      <c r="AO598" s="119" t="s">
        <v>115</v>
      </c>
      <c r="AP598" s="119" t="s">
        <v>113</v>
      </c>
      <c r="AQ598" s="119" t="s">
        <v>116</v>
      </c>
      <c r="AR598" s="119" t="s">
        <v>124</v>
      </c>
      <c r="AS598" s="119" t="s">
        <v>121</v>
      </c>
      <c r="AT598" s="8"/>
      <c r="AU598" s="8">
        <f t="shared" si="69"/>
        <v>16</v>
      </c>
      <c r="AV598" s="8">
        <f t="shared" si="70"/>
        <v>64</v>
      </c>
      <c r="AW598" s="8">
        <f t="shared" si="71"/>
        <v>2</v>
      </c>
      <c r="AX598" s="8">
        <f t="shared" si="72"/>
        <v>4</v>
      </c>
      <c r="AY598" s="8">
        <f t="shared" si="73"/>
        <v>1</v>
      </c>
      <c r="AZ598" s="8">
        <f t="shared" si="74"/>
        <v>8</v>
      </c>
      <c r="BA598" s="8">
        <f t="shared" si="75"/>
        <v>2048</v>
      </c>
      <c r="BB598" s="8">
        <f t="shared" si="76"/>
        <v>256</v>
      </c>
      <c r="BC598" s="8">
        <f t="shared" si="77"/>
        <v>2399</v>
      </c>
      <c r="BD598" s="8"/>
      <c r="BE598" s="8"/>
      <c r="BF598" s="8"/>
      <c r="BG598" s="8"/>
      <c r="BH598" s="8"/>
    </row>
    <row r="599" spans="2:60">
      <c r="B599" s="11"/>
      <c r="C599" s="12"/>
      <c r="D599" s="8"/>
      <c r="E599" s="13"/>
      <c r="F599" s="14"/>
      <c r="G599" s="13"/>
      <c r="H599" s="15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2">
        <v>1375</v>
      </c>
      <c r="AK599" s="118">
        <v>475</v>
      </c>
      <c r="AL599" s="119" t="s">
        <v>117</v>
      </c>
      <c r="AM599" s="119" t="s">
        <v>119</v>
      </c>
      <c r="AN599" s="119" t="s">
        <v>114</v>
      </c>
      <c r="AO599" s="119" t="s">
        <v>115</v>
      </c>
      <c r="AP599" s="119" t="s">
        <v>113</v>
      </c>
      <c r="AQ599" s="119" t="s">
        <v>116</v>
      </c>
      <c r="AR599" s="119" t="s">
        <v>121</v>
      </c>
      <c r="AS599" s="119" t="s">
        <v>123</v>
      </c>
      <c r="AT599" s="8"/>
      <c r="AU599" s="8">
        <f t="shared" si="69"/>
        <v>16</v>
      </c>
      <c r="AV599" s="8">
        <f t="shared" si="70"/>
        <v>64</v>
      </c>
      <c r="AW599" s="8">
        <f t="shared" si="71"/>
        <v>2</v>
      </c>
      <c r="AX599" s="8">
        <f t="shared" si="72"/>
        <v>4</v>
      </c>
      <c r="AY599" s="8">
        <f t="shared" si="73"/>
        <v>1</v>
      </c>
      <c r="AZ599" s="8">
        <f t="shared" si="74"/>
        <v>8</v>
      </c>
      <c r="BA599" s="8">
        <f t="shared" si="75"/>
        <v>256</v>
      </c>
      <c r="BB599" s="8">
        <f t="shared" si="76"/>
        <v>1024</v>
      </c>
      <c r="BC599" s="8">
        <f t="shared" si="77"/>
        <v>1375</v>
      </c>
      <c r="BD599" s="8"/>
      <c r="BE599" s="8"/>
      <c r="BF599" s="8"/>
      <c r="BG599" s="8"/>
      <c r="BH599" s="8"/>
    </row>
    <row r="600" spans="2:60">
      <c r="B600" s="11"/>
      <c r="C600" s="12"/>
      <c r="D600" s="8"/>
      <c r="E600" s="13"/>
      <c r="F600" s="14"/>
      <c r="G600" s="13"/>
      <c r="H600" s="15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2">
        <v>863</v>
      </c>
      <c r="AK600" s="118">
        <v>476</v>
      </c>
      <c r="AL600" s="119" t="s">
        <v>117</v>
      </c>
      <c r="AM600" s="119" t="s">
        <v>119</v>
      </c>
      <c r="AN600" s="119" t="s">
        <v>114</v>
      </c>
      <c r="AO600" s="119" t="s">
        <v>115</v>
      </c>
      <c r="AP600" s="119" t="s">
        <v>113</v>
      </c>
      <c r="AQ600" s="119" t="s">
        <v>116</v>
      </c>
      <c r="AR600" s="119" t="s">
        <v>121</v>
      </c>
      <c r="AS600" s="119" t="s">
        <v>122</v>
      </c>
      <c r="AT600" s="8"/>
      <c r="AU600" s="8">
        <f t="shared" si="69"/>
        <v>16</v>
      </c>
      <c r="AV600" s="8">
        <f t="shared" si="70"/>
        <v>64</v>
      </c>
      <c r="AW600" s="8">
        <f t="shared" si="71"/>
        <v>2</v>
      </c>
      <c r="AX600" s="8">
        <f t="shared" si="72"/>
        <v>4</v>
      </c>
      <c r="AY600" s="8">
        <f t="shared" si="73"/>
        <v>1</v>
      </c>
      <c r="AZ600" s="8">
        <f t="shared" si="74"/>
        <v>8</v>
      </c>
      <c r="BA600" s="8">
        <f t="shared" si="75"/>
        <v>256</v>
      </c>
      <c r="BB600" s="8">
        <f t="shared" si="76"/>
        <v>512</v>
      </c>
      <c r="BC600" s="8">
        <f t="shared" si="77"/>
        <v>863</v>
      </c>
      <c r="BD600" s="8"/>
      <c r="BE600" s="8"/>
      <c r="BF600" s="8"/>
      <c r="BG600" s="8"/>
      <c r="BH600" s="8"/>
    </row>
    <row r="601" spans="2:60">
      <c r="B601" s="11"/>
      <c r="C601" s="12"/>
      <c r="D601" s="8"/>
      <c r="E601" s="13"/>
      <c r="F601" s="14"/>
      <c r="G601" s="13"/>
      <c r="H601" s="15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2">
        <v>2271</v>
      </c>
      <c r="AK601" s="118">
        <v>477</v>
      </c>
      <c r="AL601" s="119" t="s">
        <v>120</v>
      </c>
      <c r="AM601" s="119" t="s">
        <v>119</v>
      </c>
      <c r="AN601" s="119" t="s">
        <v>114</v>
      </c>
      <c r="AO601" s="119" t="s">
        <v>115</v>
      </c>
      <c r="AP601" s="119" t="s">
        <v>113</v>
      </c>
      <c r="AQ601" s="119" t="s">
        <v>116</v>
      </c>
      <c r="AR601" s="119" t="s">
        <v>124</v>
      </c>
      <c r="AS601" s="119" t="s">
        <v>117</v>
      </c>
      <c r="AT601" s="8"/>
      <c r="AU601" s="8">
        <f t="shared" si="69"/>
        <v>128</v>
      </c>
      <c r="AV601" s="8">
        <f t="shared" si="70"/>
        <v>64</v>
      </c>
      <c r="AW601" s="8">
        <f t="shared" si="71"/>
        <v>2</v>
      </c>
      <c r="AX601" s="8">
        <f t="shared" si="72"/>
        <v>4</v>
      </c>
      <c r="AY601" s="8">
        <f t="shared" si="73"/>
        <v>1</v>
      </c>
      <c r="AZ601" s="8">
        <f t="shared" si="74"/>
        <v>8</v>
      </c>
      <c r="BA601" s="8">
        <f t="shared" si="75"/>
        <v>2048</v>
      </c>
      <c r="BB601" s="8">
        <f t="shared" si="76"/>
        <v>16</v>
      </c>
      <c r="BC601" s="8">
        <f t="shared" si="77"/>
        <v>2271</v>
      </c>
      <c r="BD601" s="8"/>
      <c r="BE601" s="8"/>
      <c r="BF601" s="8"/>
      <c r="BG601" s="8"/>
      <c r="BH601" s="8"/>
    </row>
    <row r="602" spans="2:60">
      <c r="B602" s="11"/>
      <c r="C602" s="12"/>
      <c r="D602" s="8"/>
      <c r="E602" s="13"/>
      <c r="F602" s="14"/>
      <c r="G602" s="13"/>
      <c r="H602" s="15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2">
        <v>1247</v>
      </c>
      <c r="AK602" s="118">
        <v>478</v>
      </c>
      <c r="AL602" s="119" t="s">
        <v>120</v>
      </c>
      <c r="AM602" s="119" t="s">
        <v>119</v>
      </c>
      <c r="AN602" s="119" t="s">
        <v>114</v>
      </c>
      <c r="AO602" s="119" t="s">
        <v>115</v>
      </c>
      <c r="AP602" s="119" t="s">
        <v>113</v>
      </c>
      <c r="AQ602" s="119" t="s">
        <v>116</v>
      </c>
      <c r="AR602" s="119" t="s">
        <v>117</v>
      </c>
      <c r="AS602" s="119" t="s">
        <v>123</v>
      </c>
      <c r="AT602" s="8"/>
      <c r="AU602" s="8">
        <f t="shared" si="69"/>
        <v>128</v>
      </c>
      <c r="AV602" s="8">
        <f t="shared" si="70"/>
        <v>64</v>
      </c>
      <c r="AW602" s="8">
        <f t="shared" si="71"/>
        <v>2</v>
      </c>
      <c r="AX602" s="8">
        <f t="shared" si="72"/>
        <v>4</v>
      </c>
      <c r="AY602" s="8">
        <f t="shared" si="73"/>
        <v>1</v>
      </c>
      <c r="AZ602" s="8">
        <f t="shared" si="74"/>
        <v>8</v>
      </c>
      <c r="BA602" s="8">
        <f t="shared" si="75"/>
        <v>16</v>
      </c>
      <c r="BB602" s="8">
        <f t="shared" si="76"/>
        <v>1024</v>
      </c>
      <c r="BC602" s="8">
        <f t="shared" si="77"/>
        <v>1247</v>
      </c>
      <c r="BD602" s="8"/>
      <c r="BE602" s="8"/>
      <c r="BF602" s="8"/>
      <c r="BG602" s="8"/>
      <c r="BH602" s="8"/>
    </row>
    <row r="603" spans="2:60">
      <c r="B603" s="11"/>
      <c r="C603" s="12"/>
      <c r="D603" s="8"/>
      <c r="E603" s="13"/>
      <c r="F603" s="14"/>
      <c r="G603" s="13"/>
      <c r="H603" s="15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2">
        <v>735</v>
      </c>
      <c r="AK603" s="118">
        <v>479</v>
      </c>
      <c r="AL603" s="119" t="s">
        <v>120</v>
      </c>
      <c r="AM603" s="119" t="s">
        <v>119</v>
      </c>
      <c r="AN603" s="119" t="s">
        <v>114</v>
      </c>
      <c r="AO603" s="119" t="s">
        <v>115</v>
      </c>
      <c r="AP603" s="119" t="s">
        <v>113</v>
      </c>
      <c r="AQ603" s="119" t="s">
        <v>116</v>
      </c>
      <c r="AR603" s="119" t="s">
        <v>117</v>
      </c>
      <c r="AS603" s="119" t="s">
        <v>122</v>
      </c>
      <c r="AT603" s="8"/>
      <c r="AU603" s="8">
        <f t="shared" si="69"/>
        <v>128</v>
      </c>
      <c r="AV603" s="8">
        <f t="shared" si="70"/>
        <v>64</v>
      </c>
      <c r="AW603" s="8">
        <f t="shared" si="71"/>
        <v>2</v>
      </c>
      <c r="AX603" s="8">
        <f t="shared" si="72"/>
        <v>4</v>
      </c>
      <c r="AY603" s="8">
        <f t="shared" si="73"/>
        <v>1</v>
      </c>
      <c r="AZ603" s="8">
        <f t="shared" si="74"/>
        <v>8</v>
      </c>
      <c r="BA603" s="8">
        <f t="shared" si="75"/>
        <v>16</v>
      </c>
      <c r="BB603" s="8">
        <f t="shared" si="76"/>
        <v>512</v>
      </c>
      <c r="BC603" s="8">
        <f t="shared" si="77"/>
        <v>735</v>
      </c>
      <c r="BD603" s="8"/>
      <c r="BE603" s="8"/>
      <c r="BF603" s="8"/>
      <c r="BG603" s="8"/>
      <c r="BH603" s="8"/>
    </row>
    <row r="604" spans="2:60">
      <c r="B604" s="11"/>
      <c r="C604" s="12"/>
      <c r="D604" s="8"/>
      <c r="E604" s="13"/>
      <c r="F604" s="14"/>
      <c r="G604" s="13"/>
      <c r="H604" s="15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2">
        <v>479</v>
      </c>
      <c r="AK604" s="118">
        <v>480</v>
      </c>
      <c r="AL604" s="119" t="s">
        <v>120</v>
      </c>
      <c r="AM604" s="119" t="s">
        <v>119</v>
      </c>
      <c r="AN604" s="119" t="s">
        <v>114</v>
      </c>
      <c r="AO604" s="119" t="s">
        <v>115</v>
      </c>
      <c r="AP604" s="119" t="s">
        <v>113</v>
      </c>
      <c r="AQ604" s="119" t="s">
        <v>116</v>
      </c>
      <c r="AR604" s="119" t="s">
        <v>117</v>
      </c>
      <c r="AS604" s="119" t="s">
        <v>121</v>
      </c>
      <c r="AT604" s="8"/>
      <c r="AU604" s="8">
        <f t="shared" si="69"/>
        <v>128</v>
      </c>
      <c r="AV604" s="8">
        <f t="shared" si="70"/>
        <v>64</v>
      </c>
      <c r="AW604" s="8">
        <f t="shared" si="71"/>
        <v>2</v>
      </c>
      <c r="AX604" s="8">
        <f t="shared" si="72"/>
        <v>4</v>
      </c>
      <c r="AY604" s="8">
        <f t="shared" si="73"/>
        <v>1</v>
      </c>
      <c r="AZ604" s="8">
        <f t="shared" si="74"/>
        <v>8</v>
      </c>
      <c r="BA604" s="8">
        <f t="shared" si="75"/>
        <v>16</v>
      </c>
      <c r="BB604" s="8">
        <f t="shared" si="76"/>
        <v>256</v>
      </c>
      <c r="BC604" s="8">
        <f t="shared" si="77"/>
        <v>479</v>
      </c>
      <c r="BD604" s="8"/>
      <c r="BE604" s="8"/>
      <c r="BF604" s="8"/>
      <c r="BG604" s="8"/>
      <c r="BH604" s="8"/>
    </row>
    <row r="605" spans="2:60">
      <c r="B605" s="11"/>
      <c r="C605" s="12"/>
      <c r="D605" s="8"/>
      <c r="E605" s="13"/>
      <c r="F605" s="14"/>
      <c r="G605" s="13"/>
      <c r="H605" s="15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2">
        <v>3135</v>
      </c>
      <c r="AK605" s="118">
        <v>481</v>
      </c>
      <c r="AL605" s="119" t="s">
        <v>115</v>
      </c>
      <c r="AM605" s="119" t="s">
        <v>117</v>
      </c>
      <c r="AN605" s="119" t="s">
        <v>114</v>
      </c>
      <c r="AO605" s="119" t="s">
        <v>116</v>
      </c>
      <c r="AP605" s="119" t="s">
        <v>113</v>
      </c>
      <c r="AQ605" s="119" t="s">
        <v>118</v>
      </c>
      <c r="AR605" s="119" t="s">
        <v>124</v>
      </c>
      <c r="AS605" s="119" t="s">
        <v>123</v>
      </c>
      <c r="AT605" s="8"/>
      <c r="AU605" s="8">
        <f t="shared" si="69"/>
        <v>4</v>
      </c>
      <c r="AV605" s="8">
        <f t="shared" si="70"/>
        <v>16</v>
      </c>
      <c r="AW605" s="8">
        <f t="shared" si="71"/>
        <v>2</v>
      </c>
      <c r="AX605" s="8">
        <f t="shared" si="72"/>
        <v>8</v>
      </c>
      <c r="AY605" s="8">
        <f t="shared" si="73"/>
        <v>1</v>
      </c>
      <c r="AZ605" s="8">
        <f t="shared" si="74"/>
        <v>32</v>
      </c>
      <c r="BA605" s="8">
        <f t="shared" si="75"/>
        <v>2048</v>
      </c>
      <c r="BB605" s="8">
        <f t="shared" si="76"/>
        <v>1024</v>
      </c>
      <c r="BC605" s="8">
        <f t="shared" si="77"/>
        <v>3135</v>
      </c>
      <c r="BD605" s="8"/>
      <c r="BE605" s="8"/>
      <c r="BF605" s="8"/>
      <c r="BG605" s="8"/>
      <c r="BH605" s="8"/>
    </row>
    <row r="606" spans="2:60">
      <c r="B606" s="11"/>
      <c r="C606" s="12"/>
      <c r="D606" s="8"/>
      <c r="E606" s="13"/>
      <c r="F606" s="14"/>
      <c r="G606" s="13"/>
      <c r="H606" s="15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2">
        <v>2623</v>
      </c>
      <c r="AK606" s="118">
        <v>482</v>
      </c>
      <c r="AL606" s="119" t="s">
        <v>115</v>
      </c>
      <c r="AM606" s="119" t="s">
        <v>122</v>
      </c>
      <c r="AN606" s="119" t="s">
        <v>114</v>
      </c>
      <c r="AO606" s="119" t="s">
        <v>116</v>
      </c>
      <c r="AP606" s="119" t="s">
        <v>113</v>
      </c>
      <c r="AQ606" s="119" t="s">
        <v>118</v>
      </c>
      <c r="AR606" s="119" t="s">
        <v>124</v>
      </c>
      <c r="AS606" s="119" t="s">
        <v>117</v>
      </c>
      <c r="AT606" s="8"/>
      <c r="AU606" s="8">
        <f t="shared" si="69"/>
        <v>4</v>
      </c>
      <c r="AV606" s="8">
        <f t="shared" si="70"/>
        <v>512</v>
      </c>
      <c r="AW606" s="8">
        <f t="shared" si="71"/>
        <v>2</v>
      </c>
      <c r="AX606" s="8">
        <f t="shared" si="72"/>
        <v>8</v>
      </c>
      <c r="AY606" s="8">
        <f t="shared" si="73"/>
        <v>1</v>
      </c>
      <c r="AZ606" s="8">
        <f t="shared" si="74"/>
        <v>32</v>
      </c>
      <c r="BA606" s="8">
        <f t="shared" si="75"/>
        <v>2048</v>
      </c>
      <c r="BB606" s="8">
        <f t="shared" si="76"/>
        <v>16</v>
      </c>
      <c r="BC606" s="8">
        <f t="shared" si="77"/>
        <v>2623</v>
      </c>
      <c r="BD606" s="8"/>
      <c r="BE606" s="8"/>
      <c r="BF606" s="8"/>
      <c r="BG606" s="8"/>
      <c r="BH606" s="8"/>
    </row>
    <row r="607" spans="2:60">
      <c r="B607" s="11"/>
      <c r="C607" s="12"/>
      <c r="D607" s="8"/>
      <c r="E607" s="13"/>
      <c r="F607" s="14"/>
      <c r="G607" s="13"/>
      <c r="H607" s="1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2">
        <v>1599</v>
      </c>
      <c r="AK607" s="118">
        <v>483</v>
      </c>
      <c r="AL607" s="119" t="s">
        <v>115</v>
      </c>
      <c r="AM607" s="119" t="s">
        <v>122</v>
      </c>
      <c r="AN607" s="119" t="s">
        <v>114</v>
      </c>
      <c r="AO607" s="119" t="s">
        <v>116</v>
      </c>
      <c r="AP607" s="119" t="s">
        <v>113</v>
      </c>
      <c r="AQ607" s="119" t="s">
        <v>118</v>
      </c>
      <c r="AR607" s="119" t="s">
        <v>117</v>
      </c>
      <c r="AS607" s="119" t="s">
        <v>123</v>
      </c>
      <c r="AT607" s="8"/>
      <c r="AU607" s="8">
        <f t="shared" si="69"/>
        <v>4</v>
      </c>
      <c r="AV607" s="8">
        <f t="shared" si="70"/>
        <v>512</v>
      </c>
      <c r="AW607" s="8">
        <f t="shared" si="71"/>
        <v>2</v>
      </c>
      <c r="AX607" s="8">
        <f t="shared" si="72"/>
        <v>8</v>
      </c>
      <c r="AY607" s="8">
        <f t="shared" si="73"/>
        <v>1</v>
      </c>
      <c r="AZ607" s="8">
        <f t="shared" si="74"/>
        <v>32</v>
      </c>
      <c r="BA607" s="8">
        <f t="shared" si="75"/>
        <v>16</v>
      </c>
      <c r="BB607" s="8">
        <f t="shared" si="76"/>
        <v>1024</v>
      </c>
      <c r="BC607" s="8">
        <f t="shared" si="77"/>
        <v>1599</v>
      </c>
      <c r="BD607" s="8"/>
      <c r="BE607" s="8"/>
      <c r="BF607" s="8"/>
      <c r="BG607" s="8"/>
      <c r="BH607" s="8"/>
    </row>
    <row r="608" spans="2:60">
      <c r="B608" s="11"/>
      <c r="C608" s="12"/>
      <c r="D608" s="8"/>
      <c r="E608" s="13"/>
      <c r="F608" s="14"/>
      <c r="G608" s="13"/>
      <c r="H608" s="15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2">
        <v>2367</v>
      </c>
      <c r="AK608" s="118">
        <v>484</v>
      </c>
      <c r="AL608" s="119" t="s">
        <v>115</v>
      </c>
      <c r="AM608" s="119" t="s">
        <v>117</v>
      </c>
      <c r="AN608" s="119" t="s">
        <v>114</v>
      </c>
      <c r="AO608" s="119" t="s">
        <v>116</v>
      </c>
      <c r="AP608" s="119" t="s">
        <v>113</v>
      </c>
      <c r="AQ608" s="119" t="s">
        <v>118</v>
      </c>
      <c r="AR608" s="119" t="s">
        <v>124</v>
      </c>
      <c r="AS608" s="119" t="s">
        <v>121</v>
      </c>
      <c r="AT608" s="8"/>
      <c r="AU608" s="8">
        <f t="shared" si="69"/>
        <v>4</v>
      </c>
      <c r="AV608" s="8">
        <f t="shared" si="70"/>
        <v>16</v>
      </c>
      <c r="AW608" s="8">
        <f t="shared" si="71"/>
        <v>2</v>
      </c>
      <c r="AX608" s="8">
        <f t="shared" si="72"/>
        <v>8</v>
      </c>
      <c r="AY608" s="8">
        <f t="shared" si="73"/>
        <v>1</v>
      </c>
      <c r="AZ608" s="8">
        <f t="shared" si="74"/>
        <v>32</v>
      </c>
      <c r="BA608" s="8">
        <f t="shared" si="75"/>
        <v>2048</v>
      </c>
      <c r="BB608" s="8">
        <f t="shared" si="76"/>
        <v>256</v>
      </c>
      <c r="BC608" s="8">
        <f t="shared" si="77"/>
        <v>2367</v>
      </c>
      <c r="BD608" s="8"/>
      <c r="BE608" s="8"/>
      <c r="BF608" s="8"/>
      <c r="BG608" s="8"/>
      <c r="BH608" s="8"/>
    </row>
    <row r="609" spans="2:60">
      <c r="B609" s="11"/>
      <c r="C609" s="12"/>
      <c r="D609" s="8"/>
      <c r="E609" s="13"/>
      <c r="F609" s="14"/>
      <c r="G609" s="13"/>
      <c r="H609" s="15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2">
        <v>1343</v>
      </c>
      <c r="AK609" s="118">
        <v>485</v>
      </c>
      <c r="AL609" s="119" t="s">
        <v>115</v>
      </c>
      <c r="AM609" s="119" t="s">
        <v>117</v>
      </c>
      <c r="AN609" s="119" t="s">
        <v>114</v>
      </c>
      <c r="AO609" s="119" t="s">
        <v>116</v>
      </c>
      <c r="AP609" s="119" t="s">
        <v>113</v>
      </c>
      <c r="AQ609" s="119" t="s">
        <v>118</v>
      </c>
      <c r="AR609" s="119" t="s">
        <v>121</v>
      </c>
      <c r="AS609" s="119" t="s">
        <v>123</v>
      </c>
      <c r="AT609" s="8"/>
      <c r="AU609" s="8">
        <f t="shared" si="69"/>
        <v>4</v>
      </c>
      <c r="AV609" s="8">
        <f t="shared" si="70"/>
        <v>16</v>
      </c>
      <c r="AW609" s="8">
        <f t="shared" si="71"/>
        <v>2</v>
      </c>
      <c r="AX609" s="8">
        <f t="shared" si="72"/>
        <v>8</v>
      </c>
      <c r="AY609" s="8">
        <f t="shared" si="73"/>
        <v>1</v>
      </c>
      <c r="AZ609" s="8">
        <f t="shared" si="74"/>
        <v>32</v>
      </c>
      <c r="BA609" s="8">
        <f t="shared" si="75"/>
        <v>256</v>
      </c>
      <c r="BB609" s="8">
        <f t="shared" si="76"/>
        <v>1024</v>
      </c>
      <c r="BC609" s="8">
        <f t="shared" si="77"/>
        <v>1343</v>
      </c>
      <c r="BD609" s="8"/>
      <c r="BE609" s="8"/>
      <c r="BF609" s="8"/>
      <c r="BG609" s="8"/>
      <c r="BH609" s="8"/>
    </row>
    <row r="610" spans="2:60">
      <c r="B610" s="11"/>
      <c r="C610" s="12"/>
      <c r="D610" s="8"/>
      <c r="E610" s="13"/>
      <c r="F610" s="14"/>
      <c r="G610" s="13"/>
      <c r="H610" s="15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2">
        <v>831</v>
      </c>
      <c r="AK610" s="118">
        <v>486</v>
      </c>
      <c r="AL610" s="119" t="s">
        <v>115</v>
      </c>
      <c r="AM610" s="119" t="s">
        <v>122</v>
      </c>
      <c r="AN610" s="119" t="s">
        <v>114</v>
      </c>
      <c r="AO610" s="119" t="s">
        <v>116</v>
      </c>
      <c r="AP610" s="119" t="s">
        <v>113</v>
      </c>
      <c r="AQ610" s="119" t="s">
        <v>118</v>
      </c>
      <c r="AR610" s="119" t="s">
        <v>117</v>
      </c>
      <c r="AS610" s="119" t="s">
        <v>121</v>
      </c>
      <c r="AT610" s="8"/>
      <c r="AU610" s="8">
        <f t="shared" si="69"/>
        <v>4</v>
      </c>
      <c r="AV610" s="8">
        <f t="shared" si="70"/>
        <v>512</v>
      </c>
      <c r="AW610" s="8">
        <f t="shared" si="71"/>
        <v>2</v>
      </c>
      <c r="AX610" s="8">
        <f t="shared" si="72"/>
        <v>8</v>
      </c>
      <c r="AY610" s="8">
        <f t="shared" si="73"/>
        <v>1</v>
      </c>
      <c r="AZ610" s="8">
        <f t="shared" si="74"/>
        <v>32</v>
      </c>
      <c r="BA610" s="8">
        <f t="shared" si="75"/>
        <v>16</v>
      </c>
      <c r="BB610" s="8">
        <f t="shared" si="76"/>
        <v>256</v>
      </c>
      <c r="BC610" s="8">
        <f t="shared" si="77"/>
        <v>831</v>
      </c>
      <c r="BD610" s="8"/>
      <c r="BE610" s="8"/>
      <c r="BF610" s="8"/>
      <c r="BG610" s="8"/>
      <c r="BH610" s="8"/>
    </row>
    <row r="611" spans="2:60">
      <c r="B611" s="11"/>
      <c r="C611" s="12"/>
      <c r="D611" s="8"/>
      <c r="E611" s="13"/>
      <c r="F611" s="14"/>
      <c r="G611" s="13"/>
      <c r="H611" s="15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2">
        <v>2239</v>
      </c>
      <c r="AK611" s="118">
        <v>487</v>
      </c>
      <c r="AL611" s="119" t="s">
        <v>120</v>
      </c>
      <c r="AM611" s="119" t="s">
        <v>118</v>
      </c>
      <c r="AN611" s="119" t="s">
        <v>114</v>
      </c>
      <c r="AO611" s="119" t="s">
        <v>115</v>
      </c>
      <c r="AP611" s="119" t="s">
        <v>113</v>
      </c>
      <c r="AQ611" s="119" t="s">
        <v>116</v>
      </c>
      <c r="AR611" s="119" t="s">
        <v>124</v>
      </c>
      <c r="AS611" s="119" t="s">
        <v>117</v>
      </c>
      <c r="AT611" s="8"/>
      <c r="AU611" s="8">
        <f t="shared" si="69"/>
        <v>128</v>
      </c>
      <c r="AV611" s="8">
        <f t="shared" si="70"/>
        <v>32</v>
      </c>
      <c r="AW611" s="8">
        <f t="shared" si="71"/>
        <v>2</v>
      </c>
      <c r="AX611" s="8">
        <f t="shared" si="72"/>
        <v>4</v>
      </c>
      <c r="AY611" s="8">
        <f t="shared" si="73"/>
        <v>1</v>
      </c>
      <c r="AZ611" s="8">
        <f t="shared" si="74"/>
        <v>8</v>
      </c>
      <c r="BA611" s="8">
        <f t="shared" si="75"/>
        <v>2048</v>
      </c>
      <c r="BB611" s="8">
        <f t="shared" si="76"/>
        <v>16</v>
      </c>
      <c r="BC611" s="8">
        <f t="shared" si="77"/>
        <v>2239</v>
      </c>
      <c r="BD611" s="8"/>
      <c r="BE611" s="8"/>
      <c r="BF611" s="8"/>
      <c r="BG611" s="8"/>
      <c r="BH611" s="8"/>
    </row>
    <row r="612" spans="2:60">
      <c r="B612" s="11"/>
      <c r="C612" s="12"/>
      <c r="D612" s="8"/>
      <c r="E612" s="13"/>
      <c r="F612" s="14"/>
      <c r="G612" s="13"/>
      <c r="H612" s="15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2">
        <v>1215</v>
      </c>
      <c r="AK612" s="118">
        <v>488</v>
      </c>
      <c r="AL612" s="119" t="s">
        <v>120</v>
      </c>
      <c r="AM612" s="119" t="s">
        <v>117</v>
      </c>
      <c r="AN612" s="119" t="s">
        <v>114</v>
      </c>
      <c r="AO612" s="119" t="s">
        <v>115</v>
      </c>
      <c r="AP612" s="119" t="s">
        <v>113</v>
      </c>
      <c r="AQ612" s="119" t="s">
        <v>118</v>
      </c>
      <c r="AR612" s="119" t="s">
        <v>116</v>
      </c>
      <c r="AS612" s="119" t="s">
        <v>123</v>
      </c>
      <c r="AT612" s="8"/>
      <c r="AU612" s="8">
        <f t="shared" si="69"/>
        <v>128</v>
      </c>
      <c r="AV612" s="8">
        <f t="shared" si="70"/>
        <v>16</v>
      </c>
      <c r="AW612" s="8">
        <f t="shared" si="71"/>
        <v>2</v>
      </c>
      <c r="AX612" s="8">
        <f t="shared" si="72"/>
        <v>4</v>
      </c>
      <c r="AY612" s="8">
        <f t="shared" si="73"/>
        <v>1</v>
      </c>
      <c r="AZ612" s="8">
        <f t="shared" si="74"/>
        <v>32</v>
      </c>
      <c r="BA612" s="8">
        <f t="shared" si="75"/>
        <v>8</v>
      </c>
      <c r="BB612" s="8">
        <f t="shared" si="76"/>
        <v>1024</v>
      </c>
      <c r="BC612" s="8">
        <f t="shared" si="77"/>
        <v>1215</v>
      </c>
      <c r="BD612" s="8"/>
      <c r="BE612" s="8"/>
      <c r="BF612" s="8"/>
      <c r="BG612" s="8"/>
      <c r="BH612" s="8"/>
    </row>
    <row r="613" spans="2:60">
      <c r="B613" s="11"/>
      <c r="C613" s="12"/>
      <c r="D613" s="8"/>
      <c r="E613" s="13"/>
      <c r="F613" s="14"/>
      <c r="G613" s="13"/>
      <c r="H613" s="15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2">
        <v>703</v>
      </c>
      <c r="AK613" s="118">
        <v>489</v>
      </c>
      <c r="AL613" s="119" t="s">
        <v>120</v>
      </c>
      <c r="AM613" s="119" t="s">
        <v>122</v>
      </c>
      <c r="AN613" s="119" t="s">
        <v>114</v>
      </c>
      <c r="AO613" s="119" t="s">
        <v>115</v>
      </c>
      <c r="AP613" s="119" t="s">
        <v>113</v>
      </c>
      <c r="AQ613" s="119" t="s">
        <v>118</v>
      </c>
      <c r="AR613" s="119" t="s">
        <v>116</v>
      </c>
      <c r="AS613" s="119" t="s">
        <v>117</v>
      </c>
      <c r="AT613" s="8"/>
      <c r="AU613" s="8">
        <f t="shared" si="69"/>
        <v>128</v>
      </c>
      <c r="AV613" s="8">
        <f t="shared" si="70"/>
        <v>512</v>
      </c>
      <c r="AW613" s="8">
        <f t="shared" si="71"/>
        <v>2</v>
      </c>
      <c r="AX613" s="8">
        <f t="shared" si="72"/>
        <v>4</v>
      </c>
      <c r="AY613" s="8">
        <f t="shared" si="73"/>
        <v>1</v>
      </c>
      <c r="AZ613" s="8">
        <f t="shared" si="74"/>
        <v>32</v>
      </c>
      <c r="BA613" s="8">
        <f t="shared" si="75"/>
        <v>8</v>
      </c>
      <c r="BB613" s="8">
        <f t="shared" si="76"/>
        <v>16</v>
      </c>
      <c r="BC613" s="8">
        <f t="shared" si="77"/>
        <v>703</v>
      </c>
      <c r="BD613" s="8"/>
      <c r="BE613" s="8"/>
      <c r="BF613" s="8"/>
      <c r="BG613" s="8"/>
      <c r="BH613" s="8"/>
    </row>
    <row r="614" spans="2:60">
      <c r="B614" s="11"/>
      <c r="C614" s="12"/>
      <c r="D614" s="8"/>
      <c r="E614" s="13"/>
      <c r="F614" s="14"/>
      <c r="G614" s="13"/>
      <c r="H614" s="15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2">
        <v>447</v>
      </c>
      <c r="AK614" s="118">
        <v>490</v>
      </c>
      <c r="AL614" s="119" t="s">
        <v>120</v>
      </c>
      <c r="AM614" s="119" t="s">
        <v>117</v>
      </c>
      <c r="AN614" s="119" t="s">
        <v>114</v>
      </c>
      <c r="AO614" s="119" t="s">
        <v>115</v>
      </c>
      <c r="AP614" s="119" t="s">
        <v>113</v>
      </c>
      <c r="AQ614" s="119" t="s">
        <v>118</v>
      </c>
      <c r="AR614" s="119" t="s">
        <v>116</v>
      </c>
      <c r="AS614" s="119" t="s">
        <v>121</v>
      </c>
      <c r="AT614" s="8"/>
      <c r="AU614" s="8">
        <f t="shared" si="69"/>
        <v>128</v>
      </c>
      <c r="AV614" s="8">
        <f t="shared" si="70"/>
        <v>16</v>
      </c>
      <c r="AW614" s="8">
        <f t="shared" si="71"/>
        <v>2</v>
      </c>
      <c r="AX614" s="8">
        <f t="shared" si="72"/>
        <v>4</v>
      </c>
      <c r="AY614" s="8">
        <f t="shared" si="73"/>
        <v>1</v>
      </c>
      <c r="AZ614" s="8">
        <f t="shared" si="74"/>
        <v>32</v>
      </c>
      <c r="BA614" s="8">
        <f t="shared" si="75"/>
        <v>8</v>
      </c>
      <c r="BB614" s="8">
        <f t="shared" si="76"/>
        <v>256</v>
      </c>
      <c r="BC614" s="8">
        <f t="shared" si="77"/>
        <v>447</v>
      </c>
      <c r="BD614" s="8"/>
      <c r="BE614" s="8"/>
      <c r="BF614" s="8"/>
      <c r="BG614" s="8"/>
      <c r="BH614" s="8"/>
    </row>
    <row r="615" spans="2:60">
      <c r="B615" s="11"/>
      <c r="C615" s="12"/>
      <c r="D615" s="8"/>
      <c r="E615" s="13"/>
      <c r="F615" s="14"/>
      <c r="G615" s="13"/>
      <c r="H615" s="15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2">
        <v>2175</v>
      </c>
      <c r="AK615" s="118">
        <v>491</v>
      </c>
      <c r="AL615" s="119" t="s">
        <v>115</v>
      </c>
      <c r="AM615" s="119" t="s">
        <v>119</v>
      </c>
      <c r="AN615" s="119" t="s">
        <v>114</v>
      </c>
      <c r="AO615" s="119" t="s">
        <v>116</v>
      </c>
      <c r="AP615" s="119" t="s">
        <v>113</v>
      </c>
      <c r="AQ615" s="119" t="s">
        <v>118</v>
      </c>
      <c r="AR615" s="119" t="s">
        <v>124</v>
      </c>
      <c r="AS615" s="119" t="s">
        <v>117</v>
      </c>
      <c r="AT615" s="8"/>
      <c r="AU615" s="8">
        <f t="shared" si="69"/>
        <v>4</v>
      </c>
      <c r="AV615" s="8">
        <f t="shared" si="70"/>
        <v>64</v>
      </c>
      <c r="AW615" s="8">
        <f t="shared" si="71"/>
        <v>2</v>
      </c>
      <c r="AX615" s="8">
        <f t="shared" si="72"/>
        <v>8</v>
      </c>
      <c r="AY615" s="8">
        <f t="shared" si="73"/>
        <v>1</v>
      </c>
      <c r="AZ615" s="8">
        <f t="shared" si="74"/>
        <v>32</v>
      </c>
      <c r="BA615" s="8">
        <f t="shared" si="75"/>
        <v>2048</v>
      </c>
      <c r="BB615" s="8">
        <f t="shared" si="76"/>
        <v>16</v>
      </c>
      <c r="BC615" s="8">
        <f t="shared" si="77"/>
        <v>2175</v>
      </c>
      <c r="BD615" s="8"/>
      <c r="BE615" s="8"/>
      <c r="BF615" s="8"/>
      <c r="BG615" s="8"/>
      <c r="BH615" s="8"/>
    </row>
    <row r="616" spans="2:60">
      <c r="B616" s="11"/>
      <c r="C616" s="12"/>
      <c r="D616" s="8"/>
      <c r="E616" s="13"/>
      <c r="F616" s="14"/>
      <c r="G616" s="13"/>
      <c r="H616" s="15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2">
        <v>1151</v>
      </c>
      <c r="AK616" s="118">
        <v>492</v>
      </c>
      <c r="AL616" s="119" t="s">
        <v>115</v>
      </c>
      <c r="AM616" s="119" t="s">
        <v>119</v>
      </c>
      <c r="AN616" s="119" t="s">
        <v>114</v>
      </c>
      <c r="AO616" s="119" t="s">
        <v>116</v>
      </c>
      <c r="AP616" s="119" t="s">
        <v>113</v>
      </c>
      <c r="AQ616" s="119" t="s">
        <v>118</v>
      </c>
      <c r="AR616" s="119" t="s">
        <v>117</v>
      </c>
      <c r="AS616" s="119" t="s">
        <v>123</v>
      </c>
      <c r="AT616" s="8"/>
      <c r="AU616" s="8">
        <f t="shared" si="69"/>
        <v>4</v>
      </c>
      <c r="AV616" s="8">
        <f t="shared" si="70"/>
        <v>64</v>
      </c>
      <c r="AW616" s="8">
        <f t="shared" si="71"/>
        <v>2</v>
      </c>
      <c r="AX616" s="8">
        <f t="shared" si="72"/>
        <v>8</v>
      </c>
      <c r="AY616" s="8">
        <f t="shared" si="73"/>
        <v>1</v>
      </c>
      <c r="AZ616" s="8">
        <f t="shared" si="74"/>
        <v>32</v>
      </c>
      <c r="BA616" s="8">
        <f t="shared" si="75"/>
        <v>16</v>
      </c>
      <c r="BB616" s="8">
        <f t="shared" si="76"/>
        <v>1024</v>
      </c>
      <c r="BC616" s="8">
        <f t="shared" si="77"/>
        <v>1151</v>
      </c>
      <c r="BD616" s="8"/>
      <c r="BE616" s="8"/>
      <c r="BF616" s="8"/>
      <c r="BG616" s="8"/>
      <c r="BH616" s="8"/>
    </row>
    <row r="617" spans="2:60">
      <c r="B617" s="11"/>
      <c r="C617" s="12"/>
      <c r="D617" s="8"/>
      <c r="E617" s="13"/>
      <c r="F617" s="14"/>
      <c r="G617" s="13"/>
      <c r="H617" s="15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2">
        <v>639</v>
      </c>
      <c r="AK617" s="118">
        <v>493</v>
      </c>
      <c r="AL617" s="119" t="s">
        <v>115</v>
      </c>
      <c r="AM617" s="119" t="s">
        <v>119</v>
      </c>
      <c r="AN617" s="119" t="s">
        <v>114</v>
      </c>
      <c r="AO617" s="119" t="s">
        <v>116</v>
      </c>
      <c r="AP617" s="119" t="s">
        <v>113</v>
      </c>
      <c r="AQ617" s="119" t="s">
        <v>118</v>
      </c>
      <c r="AR617" s="119" t="s">
        <v>117</v>
      </c>
      <c r="AS617" s="119" t="s">
        <v>122</v>
      </c>
      <c r="AT617" s="8"/>
      <c r="AU617" s="8">
        <f t="shared" si="69"/>
        <v>4</v>
      </c>
      <c r="AV617" s="8">
        <f t="shared" si="70"/>
        <v>64</v>
      </c>
      <c r="AW617" s="8">
        <f t="shared" si="71"/>
        <v>2</v>
      </c>
      <c r="AX617" s="8">
        <f t="shared" si="72"/>
        <v>8</v>
      </c>
      <c r="AY617" s="8">
        <f t="shared" si="73"/>
        <v>1</v>
      </c>
      <c r="AZ617" s="8">
        <f t="shared" si="74"/>
        <v>32</v>
      </c>
      <c r="BA617" s="8">
        <f t="shared" si="75"/>
        <v>16</v>
      </c>
      <c r="BB617" s="8">
        <f t="shared" si="76"/>
        <v>512</v>
      </c>
      <c r="BC617" s="8">
        <f t="shared" si="77"/>
        <v>639</v>
      </c>
      <c r="BD617" s="8"/>
      <c r="BE617" s="8"/>
      <c r="BF617" s="8"/>
      <c r="BG617" s="8"/>
      <c r="BH617" s="8"/>
    </row>
    <row r="618" spans="2:60">
      <c r="B618" s="11"/>
      <c r="C618" s="12"/>
      <c r="D618" s="8"/>
      <c r="E618" s="13"/>
      <c r="F618" s="14"/>
      <c r="G618" s="13"/>
      <c r="H618" s="15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2">
        <v>383</v>
      </c>
      <c r="AK618" s="118">
        <v>494</v>
      </c>
      <c r="AL618" s="119" t="s">
        <v>115</v>
      </c>
      <c r="AM618" s="119" t="s">
        <v>119</v>
      </c>
      <c r="AN618" s="119" t="s">
        <v>114</v>
      </c>
      <c r="AO618" s="119" t="s">
        <v>116</v>
      </c>
      <c r="AP618" s="119" t="s">
        <v>113</v>
      </c>
      <c r="AQ618" s="119" t="s">
        <v>118</v>
      </c>
      <c r="AR618" s="119" t="s">
        <v>117</v>
      </c>
      <c r="AS618" s="119" t="s">
        <v>121</v>
      </c>
      <c r="AT618" s="8"/>
      <c r="AU618" s="8">
        <f t="shared" si="69"/>
        <v>4</v>
      </c>
      <c r="AV618" s="8">
        <f t="shared" si="70"/>
        <v>64</v>
      </c>
      <c r="AW618" s="8">
        <f t="shared" si="71"/>
        <v>2</v>
      </c>
      <c r="AX618" s="8">
        <f t="shared" si="72"/>
        <v>8</v>
      </c>
      <c r="AY618" s="8">
        <f t="shared" si="73"/>
        <v>1</v>
      </c>
      <c r="AZ618" s="8">
        <f t="shared" si="74"/>
        <v>32</v>
      </c>
      <c r="BA618" s="8">
        <f t="shared" si="75"/>
        <v>16</v>
      </c>
      <c r="BB618" s="8">
        <f t="shared" si="76"/>
        <v>256</v>
      </c>
      <c r="BC618" s="8">
        <f t="shared" si="77"/>
        <v>383</v>
      </c>
      <c r="BD618" s="8"/>
      <c r="BE618" s="8"/>
      <c r="BF618" s="8"/>
      <c r="BG618" s="8"/>
      <c r="BH618" s="8"/>
    </row>
    <row r="619" spans="2:60">
      <c r="B619" s="11"/>
      <c r="C619" s="12"/>
      <c r="D619" s="8"/>
      <c r="E619" s="13"/>
      <c r="F619" s="14"/>
      <c r="G619" s="13"/>
      <c r="H619" s="15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2">
        <v>255</v>
      </c>
      <c r="AK619" s="118">
        <v>495</v>
      </c>
      <c r="AL619" s="119" t="s">
        <v>120</v>
      </c>
      <c r="AM619" s="119" t="s">
        <v>119</v>
      </c>
      <c r="AN619" s="119" t="s">
        <v>114</v>
      </c>
      <c r="AO619" s="119" t="s">
        <v>115</v>
      </c>
      <c r="AP619" s="119" t="s">
        <v>113</v>
      </c>
      <c r="AQ619" s="119" t="s">
        <v>118</v>
      </c>
      <c r="AR619" s="119" t="s">
        <v>116</v>
      </c>
      <c r="AS619" s="119" t="s">
        <v>117</v>
      </c>
      <c r="AT619" s="8"/>
      <c r="AU619" s="8">
        <f t="shared" si="69"/>
        <v>128</v>
      </c>
      <c r="AV619" s="8">
        <f t="shared" si="70"/>
        <v>64</v>
      </c>
      <c r="AW619" s="8">
        <f t="shared" si="71"/>
        <v>2</v>
      </c>
      <c r="AX619" s="8">
        <f t="shared" si="72"/>
        <v>4</v>
      </c>
      <c r="AY619" s="8">
        <f t="shared" si="73"/>
        <v>1</v>
      </c>
      <c r="AZ619" s="8">
        <f t="shared" si="74"/>
        <v>32</v>
      </c>
      <c r="BA619" s="8">
        <f t="shared" si="75"/>
        <v>8</v>
      </c>
      <c r="BB619" s="8">
        <f t="shared" si="76"/>
        <v>16</v>
      </c>
      <c r="BC619" s="8">
        <f t="shared" si="77"/>
        <v>255</v>
      </c>
      <c r="BD619" s="8"/>
      <c r="BE619" s="8"/>
      <c r="BF619" s="8"/>
      <c r="BG619" s="8"/>
      <c r="BH619" s="8"/>
    </row>
    <row r="620" spans="2:60">
      <c r="B620" s="11"/>
      <c r="C620" s="12"/>
      <c r="D620" s="8"/>
      <c r="E620" s="13"/>
      <c r="F620" s="14"/>
      <c r="G620" s="13"/>
      <c r="H620" s="15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2:60">
      <c r="B621" s="11"/>
      <c r="C621" s="12"/>
      <c r="D621" s="8"/>
      <c r="E621" s="13"/>
      <c r="F621" s="14"/>
      <c r="G621" s="13"/>
      <c r="H621" s="15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2:60">
      <c r="B622" s="11"/>
      <c r="C622" s="12"/>
      <c r="D622" s="8"/>
      <c r="E622" s="13"/>
      <c r="F622" s="14"/>
      <c r="G622" s="13"/>
      <c r="H622" s="15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2:60">
      <c r="B623" s="11"/>
      <c r="C623" s="12"/>
      <c r="D623" s="8"/>
      <c r="E623" s="13"/>
      <c r="F623" s="14"/>
      <c r="G623" s="13"/>
      <c r="H623" s="15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2:60">
      <c r="B624" s="11"/>
      <c r="C624" s="12"/>
      <c r="D624" s="8"/>
      <c r="E624" s="13"/>
      <c r="F624" s="14"/>
      <c r="G624" s="13"/>
      <c r="H624" s="15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2:60">
      <c r="B625" s="11"/>
      <c r="C625" s="12"/>
      <c r="D625" s="8"/>
      <c r="E625" s="13"/>
      <c r="F625" s="14"/>
      <c r="G625" s="13"/>
      <c r="H625" s="15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2:60">
      <c r="B626" s="11"/>
      <c r="C626" s="12"/>
      <c r="D626" s="8"/>
      <c r="E626" s="13"/>
      <c r="F626" s="14"/>
      <c r="G626" s="13"/>
      <c r="H626" s="15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2:60">
      <c r="B627" s="11"/>
      <c r="C627" s="12"/>
      <c r="D627" s="8"/>
      <c r="E627" s="13"/>
      <c r="F627" s="14"/>
      <c r="G627" s="13"/>
      <c r="H627" s="15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2:60">
      <c r="B628" s="11"/>
      <c r="C628" s="12"/>
      <c r="D628" s="8"/>
      <c r="E628" s="13"/>
      <c r="F628" s="14"/>
      <c r="G628" s="13"/>
      <c r="H628" s="15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2:60">
      <c r="B629" s="11"/>
      <c r="C629" s="12"/>
      <c r="D629" s="8"/>
      <c r="E629" s="13"/>
      <c r="F629" s="14"/>
      <c r="G629" s="13"/>
      <c r="H629" s="15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2:60">
      <c r="B630" s="11"/>
      <c r="C630" s="12"/>
      <c r="D630" s="8"/>
      <c r="E630" s="13"/>
      <c r="F630" s="14"/>
      <c r="G630" s="13"/>
      <c r="H630" s="15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2:60">
      <c r="B631" s="11"/>
      <c r="C631" s="12"/>
      <c r="D631" s="8"/>
      <c r="E631" s="13"/>
      <c r="F631" s="14"/>
      <c r="G631" s="13"/>
      <c r="H631" s="15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2:60">
      <c r="B632" s="11"/>
      <c r="C632" s="12"/>
      <c r="D632" s="8"/>
      <c r="E632" s="13"/>
      <c r="F632" s="14"/>
      <c r="G632" s="13"/>
      <c r="H632" s="15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2:60">
      <c r="B633" s="11"/>
      <c r="C633" s="12"/>
      <c r="D633" s="8"/>
      <c r="E633" s="13"/>
      <c r="F633" s="14"/>
      <c r="G633" s="13"/>
      <c r="H633" s="15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2:60">
      <c r="B634" s="11"/>
      <c r="C634" s="12"/>
      <c r="D634" s="8"/>
      <c r="E634" s="13"/>
      <c r="F634" s="14"/>
      <c r="G634" s="13"/>
      <c r="H634" s="15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2:60">
      <c r="B635" s="11"/>
      <c r="C635" s="12"/>
      <c r="D635" s="8"/>
      <c r="E635" s="13"/>
      <c r="F635" s="14"/>
      <c r="G635" s="13"/>
      <c r="H635" s="15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2:60">
      <c r="B636" s="11"/>
      <c r="C636" s="12"/>
      <c r="D636" s="8"/>
      <c r="E636" s="13"/>
      <c r="F636" s="14"/>
      <c r="G636" s="13"/>
      <c r="H636" s="15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2:60">
      <c r="B637" s="11"/>
      <c r="C637" s="12"/>
      <c r="D637" s="8"/>
      <c r="E637" s="13"/>
      <c r="F637" s="14"/>
      <c r="G637" s="13"/>
      <c r="H637" s="15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2:60">
      <c r="B638" s="11"/>
      <c r="C638" s="12"/>
      <c r="D638" s="8"/>
      <c r="E638" s="13"/>
      <c r="F638" s="14"/>
      <c r="G638" s="13"/>
      <c r="H638" s="15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2:60">
      <c r="B639" s="11"/>
      <c r="C639" s="12"/>
      <c r="D639" s="8"/>
      <c r="E639" s="13"/>
      <c r="F639" s="14"/>
      <c r="G639" s="13"/>
      <c r="H639" s="15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2:60">
      <c r="B640" s="11"/>
      <c r="C640" s="12"/>
      <c r="D640" s="8"/>
      <c r="E640" s="13"/>
      <c r="F640" s="14"/>
      <c r="G640" s="13"/>
      <c r="H640" s="15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2:60">
      <c r="B641" s="11"/>
      <c r="C641" s="12"/>
      <c r="D641" s="8"/>
      <c r="E641" s="13"/>
      <c r="F641" s="14"/>
      <c r="G641" s="13"/>
      <c r="H641" s="15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2:60">
      <c r="B642" s="11"/>
      <c r="C642" s="12"/>
      <c r="D642" s="8"/>
      <c r="E642" s="13"/>
      <c r="F642" s="14"/>
      <c r="G642" s="13"/>
      <c r="H642" s="15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2:60">
      <c r="B643" s="11"/>
      <c r="C643" s="12"/>
      <c r="D643" s="8"/>
      <c r="E643" s="13"/>
      <c r="F643" s="14"/>
      <c r="G643" s="13"/>
      <c r="H643" s="15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2:60">
      <c r="B644" s="11"/>
      <c r="C644" s="12"/>
      <c r="D644" s="8"/>
      <c r="E644" s="13"/>
      <c r="F644" s="14"/>
      <c r="G644" s="13"/>
      <c r="H644" s="15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2:60">
      <c r="B645" s="11"/>
      <c r="C645" s="12"/>
      <c r="D645" s="8"/>
      <c r="E645" s="13"/>
      <c r="F645" s="14"/>
      <c r="G645" s="13"/>
      <c r="H645" s="15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2:60">
      <c r="B646" s="11"/>
      <c r="C646" s="12"/>
      <c r="D646" s="8"/>
      <c r="E646" s="13"/>
      <c r="F646" s="14"/>
      <c r="G646" s="13"/>
      <c r="H646" s="15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2:60">
      <c r="B647" s="11"/>
      <c r="C647" s="12"/>
      <c r="D647" s="8"/>
      <c r="E647" s="13"/>
      <c r="F647" s="14"/>
      <c r="G647" s="13"/>
      <c r="H647" s="15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2:60">
      <c r="B648" s="11"/>
      <c r="C648" s="12"/>
      <c r="D648" s="8"/>
      <c r="E648" s="13"/>
      <c r="F648" s="14"/>
      <c r="G648" s="13"/>
      <c r="H648" s="15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2:60">
      <c r="B649" s="11"/>
      <c r="C649" s="12"/>
      <c r="D649" s="8"/>
      <c r="E649" s="13"/>
      <c r="F649" s="14"/>
      <c r="G649" s="13"/>
      <c r="H649" s="15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2:60">
      <c r="B650" s="11"/>
      <c r="C650" s="12"/>
      <c r="D650" s="8"/>
      <c r="E650" s="13"/>
      <c r="F650" s="14"/>
      <c r="G650" s="13"/>
      <c r="H650" s="15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2:60">
      <c r="B651" s="11"/>
      <c r="C651" s="12"/>
      <c r="D651" s="8"/>
      <c r="E651" s="13"/>
      <c r="F651" s="14"/>
      <c r="G651" s="13"/>
      <c r="H651" s="15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2:60">
      <c r="B652" s="11"/>
      <c r="C652" s="12"/>
      <c r="D652" s="8"/>
      <c r="E652" s="13"/>
      <c r="F652" s="14"/>
      <c r="G652" s="13"/>
      <c r="H652" s="15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2:60">
      <c r="B653" s="11"/>
      <c r="C653" s="12"/>
      <c r="D653" s="8"/>
      <c r="E653" s="13"/>
      <c r="F653" s="14"/>
      <c r="G653" s="13"/>
      <c r="H653" s="15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2:60">
      <c r="B654" s="11"/>
      <c r="C654" s="12"/>
      <c r="D654" s="8"/>
      <c r="E654" s="13"/>
      <c r="F654" s="14"/>
      <c r="G654" s="13"/>
      <c r="H654" s="15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2:60">
      <c r="B655" s="11"/>
      <c r="C655" s="12"/>
      <c r="D655" s="8"/>
      <c r="E655" s="13"/>
      <c r="F655" s="14"/>
      <c r="G655" s="13"/>
      <c r="H655" s="15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2:60">
      <c r="B656" s="11"/>
      <c r="C656" s="12"/>
      <c r="D656" s="8"/>
      <c r="E656" s="13"/>
      <c r="F656" s="14"/>
      <c r="G656" s="13"/>
      <c r="H656" s="15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2:60">
      <c r="B657" s="11"/>
      <c r="C657" s="12"/>
      <c r="D657" s="8"/>
      <c r="E657" s="13"/>
      <c r="F657" s="14"/>
      <c r="G657" s="13"/>
      <c r="H657" s="15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2:60">
      <c r="B658" s="11"/>
      <c r="C658" s="12"/>
      <c r="D658" s="8"/>
      <c r="E658" s="13"/>
      <c r="F658" s="14"/>
      <c r="G658" s="13"/>
      <c r="H658" s="15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2:60">
      <c r="B659" s="11"/>
      <c r="C659" s="12"/>
      <c r="D659" s="8"/>
      <c r="E659" s="13"/>
      <c r="F659" s="14"/>
      <c r="G659" s="13"/>
      <c r="H659" s="15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2:60">
      <c r="B660" s="11"/>
      <c r="C660" s="12"/>
      <c r="D660" s="8"/>
      <c r="E660" s="13"/>
      <c r="F660" s="14"/>
      <c r="G660" s="13"/>
      <c r="H660" s="15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2:60">
      <c r="B661" s="11"/>
      <c r="C661" s="12"/>
      <c r="D661" s="8"/>
      <c r="E661" s="13"/>
      <c r="F661" s="14"/>
      <c r="G661" s="13"/>
      <c r="H661" s="15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2:60">
      <c r="B662" s="11"/>
      <c r="C662" s="12"/>
      <c r="D662" s="8"/>
      <c r="E662" s="13"/>
      <c r="F662" s="14"/>
      <c r="G662" s="13"/>
      <c r="H662" s="15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2:60">
      <c r="B663" s="11"/>
      <c r="C663" s="12"/>
      <c r="D663" s="8"/>
      <c r="E663" s="13"/>
      <c r="F663" s="14"/>
      <c r="G663" s="13"/>
      <c r="H663" s="15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2:60">
      <c r="B664" s="11"/>
      <c r="C664" s="12"/>
      <c r="D664" s="8"/>
      <c r="E664" s="13"/>
      <c r="F664" s="14"/>
      <c r="G664" s="13"/>
      <c r="H664" s="15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2:60">
      <c r="B665" s="11"/>
      <c r="C665" s="12"/>
      <c r="D665" s="8"/>
      <c r="E665" s="13"/>
      <c r="F665" s="14"/>
      <c r="G665" s="13"/>
      <c r="H665" s="15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2:60">
      <c r="B666" s="11"/>
      <c r="C666" s="12"/>
      <c r="D666" s="8"/>
      <c r="E666" s="13"/>
      <c r="F666" s="14"/>
      <c r="G666" s="13"/>
      <c r="H666" s="1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2:60">
      <c r="B667" s="11"/>
      <c r="C667" s="12"/>
      <c r="D667" s="8"/>
      <c r="E667" s="13"/>
      <c r="F667" s="14"/>
      <c r="G667" s="13"/>
      <c r="H667" s="15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2:60">
      <c r="B668" s="11"/>
      <c r="C668" s="12"/>
      <c r="D668" s="8"/>
      <c r="E668" s="13"/>
      <c r="F668" s="14"/>
      <c r="G668" s="13"/>
      <c r="H668" s="15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2:60">
      <c r="B669" s="11"/>
      <c r="C669" s="12"/>
      <c r="D669" s="8"/>
      <c r="E669" s="13"/>
      <c r="F669" s="14"/>
      <c r="G669" s="13"/>
      <c r="H669" s="15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2:60">
      <c r="B670" s="11"/>
      <c r="C670" s="12"/>
      <c r="D670" s="8"/>
      <c r="E670" s="13"/>
      <c r="F670" s="14"/>
      <c r="G670" s="13"/>
      <c r="H670" s="15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2:60">
      <c r="B671" s="11"/>
      <c r="C671" s="12"/>
      <c r="D671" s="8"/>
      <c r="E671" s="13"/>
      <c r="F671" s="14"/>
      <c r="G671" s="13"/>
      <c r="H671" s="15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2:60">
      <c r="B672" s="11"/>
      <c r="C672" s="12"/>
      <c r="D672" s="8"/>
      <c r="E672" s="13"/>
      <c r="F672" s="14"/>
      <c r="G672" s="13"/>
      <c r="H672" s="15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2:60">
      <c r="B673" s="11"/>
      <c r="C673" s="12"/>
      <c r="D673" s="8"/>
      <c r="E673" s="13"/>
      <c r="F673" s="14"/>
      <c r="G673" s="13"/>
      <c r="H673" s="15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2:60">
      <c r="B674" s="11"/>
      <c r="C674" s="12"/>
      <c r="D674" s="8"/>
      <c r="E674" s="13"/>
      <c r="F674" s="14"/>
      <c r="G674" s="13"/>
      <c r="H674" s="15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2:60">
      <c r="B675" s="11"/>
      <c r="C675" s="12"/>
      <c r="D675" s="8"/>
      <c r="E675" s="13"/>
      <c r="F675" s="14"/>
      <c r="G675" s="13"/>
      <c r="H675" s="15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2:60">
      <c r="B676" s="11"/>
      <c r="C676" s="12"/>
      <c r="D676" s="8"/>
      <c r="E676" s="13"/>
      <c r="F676" s="14"/>
      <c r="G676" s="13"/>
      <c r="H676" s="15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2:60">
      <c r="B677" s="11"/>
      <c r="C677" s="12"/>
      <c r="D677" s="8"/>
      <c r="E677" s="13"/>
      <c r="F677" s="14"/>
      <c r="G677" s="13"/>
      <c r="H677" s="15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2:60">
      <c r="B678" s="11"/>
      <c r="C678" s="12"/>
      <c r="D678" s="8"/>
      <c r="E678" s="13"/>
      <c r="F678" s="14"/>
      <c r="G678" s="13"/>
      <c r="H678" s="15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2:60">
      <c r="B679" s="11"/>
      <c r="C679" s="12"/>
      <c r="D679" s="8"/>
      <c r="E679" s="13"/>
      <c r="F679" s="14"/>
      <c r="G679" s="13"/>
      <c r="H679" s="15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2:60">
      <c r="B680" s="11"/>
      <c r="C680" s="12"/>
      <c r="D680" s="8"/>
      <c r="E680" s="13"/>
      <c r="F680" s="14"/>
      <c r="G680" s="13"/>
      <c r="H680" s="15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2:60">
      <c r="B681" s="11"/>
      <c r="C681" s="12"/>
      <c r="D681" s="8"/>
      <c r="E681" s="13"/>
      <c r="F681" s="14"/>
      <c r="G681" s="13"/>
      <c r="H681" s="15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2:60">
      <c r="B682" s="11"/>
      <c r="C682" s="12"/>
      <c r="D682" s="8"/>
      <c r="E682" s="13"/>
      <c r="F682" s="14"/>
      <c r="G682" s="13"/>
      <c r="H682" s="15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2:60">
      <c r="B683" s="11"/>
      <c r="C683" s="12"/>
      <c r="D683" s="8"/>
      <c r="E683" s="13"/>
      <c r="F683" s="14"/>
      <c r="G683" s="13"/>
      <c r="H683" s="15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2:60">
      <c r="B684" s="11"/>
      <c r="C684" s="12"/>
      <c r="D684" s="8"/>
      <c r="E684" s="13"/>
      <c r="F684" s="14"/>
      <c r="G684" s="13"/>
      <c r="H684" s="15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2:60">
      <c r="B685" s="11"/>
      <c r="C685" s="12"/>
      <c r="D685" s="8"/>
      <c r="E685" s="13"/>
      <c r="F685" s="14"/>
      <c r="G685" s="13"/>
      <c r="H685" s="15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2:60">
      <c r="B686" s="11"/>
      <c r="C686" s="12"/>
      <c r="D686" s="8"/>
      <c r="E686" s="13"/>
      <c r="F686" s="14"/>
      <c r="G686" s="13"/>
      <c r="H686" s="15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2:60">
      <c r="B687" s="11"/>
      <c r="C687" s="12"/>
      <c r="D687" s="8"/>
      <c r="E687" s="13"/>
      <c r="F687" s="14"/>
      <c r="G687" s="13"/>
      <c r="H687" s="15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2:60">
      <c r="B688" s="11"/>
      <c r="C688" s="12"/>
      <c r="D688" s="8"/>
      <c r="E688" s="13"/>
      <c r="F688" s="14"/>
      <c r="G688" s="13"/>
      <c r="H688" s="15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2:60">
      <c r="B689" s="11"/>
      <c r="C689" s="12"/>
      <c r="D689" s="8"/>
      <c r="E689" s="13"/>
      <c r="F689" s="14"/>
      <c r="G689" s="13"/>
      <c r="H689" s="15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2:60">
      <c r="B690" s="11"/>
      <c r="C690" s="12"/>
      <c r="D690" s="8"/>
      <c r="E690" s="13"/>
      <c r="F690" s="14"/>
      <c r="G690" s="13"/>
      <c r="H690" s="15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2:60">
      <c r="B691" s="11"/>
      <c r="C691" s="12"/>
      <c r="D691" s="8"/>
      <c r="E691" s="13"/>
      <c r="F691" s="14"/>
      <c r="G691" s="13"/>
      <c r="H691" s="15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2:60">
      <c r="B692" s="11"/>
      <c r="C692" s="12"/>
      <c r="D692" s="8"/>
      <c r="E692" s="13"/>
      <c r="F692" s="14"/>
      <c r="G692" s="13"/>
      <c r="H692" s="15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2:60">
      <c r="B693" s="11"/>
      <c r="C693" s="12"/>
      <c r="D693" s="8"/>
      <c r="E693" s="13"/>
      <c r="F693" s="14"/>
      <c r="G693" s="13"/>
      <c r="H693" s="15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2:60">
      <c r="B694" s="11"/>
      <c r="C694" s="12"/>
      <c r="D694" s="8"/>
      <c r="E694" s="13"/>
      <c r="F694" s="14"/>
      <c r="G694" s="13"/>
      <c r="H694" s="15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2:60">
      <c r="B695" s="11"/>
      <c r="C695" s="12"/>
      <c r="D695" s="8"/>
      <c r="E695" s="13"/>
      <c r="F695" s="14"/>
      <c r="G695" s="13"/>
      <c r="H695" s="15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2:60">
      <c r="B696" s="11"/>
      <c r="C696" s="12"/>
      <c r="D696" s="8"/>
      <c r="E696" s="13"/>
      <c r="F696" s="14"/>
      <c r="G696" s="13"/>
      <c r="H696" s="15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2:60">
      <c r="B697" s="11"/>
      <c r="C697" s="12"/>
      <c r="D697" s="8"/>
      <c r="E697" s="13"/>
      <c r="F697" s="14"/>
      <c r="G697" s="13"/>
      <c r="H697" s="15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2:60">
      <c r="B698" s="11"/>
      <c r="C698" s="12"/>
      <c r="D698" s="8"/>
      <c r="E698" s="13"/>
      <c r="F698" s="14"/>
      <c r="G698" s="13"/>
      <c r="H698" s="15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2:60">
      <c r="B699" s="11"/>
      <c r="C699" s="12"/>
      <c r="D699" s="8"/>
      <c r="E699" s="13"/>
      <c r="F699" s="14"/>
      <c r="G699" s="13"/>
      <c r="H699" s="1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2:60">
      <c r="B700" s="11"/>
      <c r="C700" s="12"/>
      <c r="D700" s="8"/>
      <c r="E700" s="13"/>
      <c r="F700" s="14"/>
      <c r="G700" s="13"/>
      <c r="H700" s="15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2:60">
      <c r="B701" s="11"/>
      <c r="C701" s="12"/>
      <c r="D701" s="8"/>
      <c r="E701" s="13"/>
      <c r="F701" s="14"/>
      <c r="G701" s="13"/>
      <c r="H701" s="15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2:60">
      <c r="B702" s="11"/>
      <c r="C702" s="12"/>
      <c r="D702" s="8"/>
      <c r="E702" s="13"/>
      <c r="F702" s="14"/>
      <c r="G702" s="13"/>
      <c r="H702" s="15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2:60">
      <c r="B703" s="11"/>
      <c r="C703" s="12"/>
      <c r="D703" s="8"/>
      <c r="E703" s="13"/>
      <c r="F703" s="14"/>
      <c r="G703" s="13"/>
      <c r="H703" s="15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2:60">
      <c r="B704" s="11"/>
      <c r="C704" s="12"/>
      <c r="D704" s="8"/>
      <c r="E704" s="13"/>
      <c r="F704" s="14"/>
      <c r="G704" s="13"/>
      <c r="H704" s="15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2:60">
      <c r="B705" s="11"/>
      <c r="C705" s="12"/>
      <c r="D705" s="8"/>
      <c r="E705" s="13"/>
      <c r="F705" s="14"/>
      <c r="G705" s="13"/>
      <c r="H705" s="15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2:60">
      <c r="B706" s="11"/>
      <c r="C706" s="12"/>
      <c r="D706" s="8"/>
      <c r="E706" s="13"/>
      <c r="F706" s="14"/>
      <c r="G706" s="13"/>
      <c r="H706" s="15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2:60">
      <c r="B707" s="11"/>
      <c r="C707" s="12"/>
      <c r="D707" s="8"/>
      <c r="E707" s="13"/>
      <c r="F707" s="14"/>
      <c r="G707" s="13"/>
      <c r="H707" s="15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2:60">
      <c r="B708" s="11"/>
      <c r="C708" s="12"/>
      <c r="D708" s="8"/>
      <c r="E708" s="13"/>
      <c r="F708" s="14"/>
      <c r="G708" s="13"/>
      <c r="H708" s="1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2:60">
      <c r="B709" s="11"/>
      <c r="C709" s="12"/>
      <c r="D709" s="8"/>
      <c r="E709" s="13"/>
      <c r="F709" s="14"/>
      <c r="G709" s="13"/>
      <c r="H709" s="15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2:60">
      <c r="B710" s="11"/>
      <c r="C710" s="12"/>
      <c r="D710" s="8"/>
      <c r="E710" s="13"/>
      <c r="F710" s="14"/>
      <c r="G710" s="13"/>
      <c r="H710" s="15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2:60">
      <c r="B711" s="11"/>
      <c r="C711" s="12"/>
      <c r="D711" s="8"/>
      <c r="E711" s="13"/>
      <c r="F711" s="14"/>
      <c r="G711" s="13"/>
      <c r="H711" s="15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2:60">
      <c r="B712" s="11"/>
      <c r="C712" s="12"/>
      <c r="D712" s="8"/>
      <c r="E712" s="13"/>
      <c r="F712" s="14"/>
      <c r="G712" s="13"/>
      <c r="H712" s="15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2:60">
      <c r="B713" s="11"/>
      <c r="C713" s="12"/>
      <c r="D713" s="8"/>
      <c r="E713" s="13"/>
      <c r="F713" s="14"/>
      <c r="G713" s="13"/>
      <c r="H713" s="15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2:60">
      <c r="B714" s="11"/>
      <c r="C714" s="12"/>
      <c r="D714" s="8"/>
      <c r="E714" s="13"/>
      <c r="F714" s="14"/>
      <c r="G714" s="13"/>
      <c r="H714" s="15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2:60">
      <c r="B715" s="11"/>
      <c r="C715" s="12"/>
      <c r="D715" s="8"/>
      <c r="E715" s="13"/>
      <c r="F715" s="14"/>
      <c r="G715" s="13"/>
      <c r="H715" s="15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2:60">
      <c r="B716" s="11"/>
      <c r="C716" s="12"/>
      <c r="D716" s="8"/>
      <c r="E716" s="13"/>
      <c r="F716" s="14"/>
      <c r="G716" s="13"/>
      <c r="H716" s="15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2:60">
      <c r="B717" s="11"/>
      <c r="C717" s="12"/>
      <c r="D717" s="8"/>
      <c r="E717" s="13"/>
      <c r="F717" s="14"/>
      <c r="G717" s="13"/>
      <c r="H717" s="15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2:60">
      <c r="B718" s="11"/>
      <c r="C718" s="12"/>
      <c r="D718" s="8"/>
      <c r="E718" s="13"/>
      <c r="F718" s="14"/>
      <c r="G718" s="13"/>
      <c r="H718" s="15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2:60">
      <c r="B719" s="11"/>
      <c r="C719" s="12"/>
      <c r="D719" s="8"/>
      <c r="E719" s="13"/>
      <c r="F719" s="14"/>
      <c r="G719" s="13"/>
      <c r="H719" s="15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2:60">
      <c r="B720" s="11"/>
      <c r="C720" s="12"/>
      <c r="D720" s="8"/>
      <c r="E720" s="13"/>
      <c r="F720" s="14"/>
      <c r="G720" s="13"/>
      <c r="H720" s="15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2:60">
      <c r="B721" s="11"/>
      <c r="C721" s="12"/>
      <c r="D721" s="8"/>
      <c r="E721" s="13"/>
      <c r="F721" s="14"/>
      <c r="G721" s="13"/>
      <c r="H721" s="15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2:60">
      <c r="B722" s="11"/>
      <c r="C722" s="12"/>
      <c r="D722" s="8"/>
      <c r="E722" s="13"/>
      <c r="F722" s="14"/>
      <c r="G722" s="13"/>
      <c r="H722" s="15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2:60">
      <c r="B723" s="11"/>
      <c r="C723" s="12"/>
      <c r="D723" s="8"/>
      <c r="E723" s="13"/>
      <c r="F723" s="14"/>
      <c r="G723" s="13"/>
      <c r="H723" s="15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2:60">
      <c r="B724" s="11"/>
      <c r="C724" s="12"/>
      <c r="D724" s="8"/>
      <c r="E724" s="13"/>
      <c r="F724" s="14"/>
      <c r="G724" s="13"/>
      <c r="H724" s="15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2:60">
      <c r="B725" s="11"/>
      <c r="C725" s="12"/>
      <c r="D725" s="8"/>
      <c r="E725" s="13"/>
      <c r="F725" s="14"/>
      <c r="G725" s="13"/>
      <c r="H725" s="15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2:60">
      <c r="B726" s="11"/>
      <c r="C726" s="12"/>
      <c r="D726" s="8"/>
      <c r="E726" s="13"/>
      <c r="F726" s="14"/>
      <c r="G726" s="13"/>
      <c r="H726" s="15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2:60">
      <c r="B727" s="11"/>
      <c r="C727" s="12"/>
      <c r="D727" s="8"/>
      <c r="E727" s="13"/>
      <c r="F727" s="14"/>
      <c r="G727" s="13"/>
      <c r="H727" s="15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2:60">
      <c r="B728" s="11"/>
      <c r="C728" s="12"/>
      <c r="D728" s="8"/>
      <c r="E728" s="13"/>
      <c r="F728" s="14"/>
      <c r="G728" s="13"/>
      <c r="H728" s="15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2:60">
      <c r="B729" s="11"/>
      <c r="C729" s="12"/>
      <c r="D729" s="8"/>
      <c r="E729" s="13"/>
      <c r="F729" s="14"/>
      <c r="G729" s="13"/>
      <c r="H729" s="15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2:60">
      <c r="B730" s="11"/>
      <c r="C730" s="12"/>
      <c r="D730" s="8"/>
      <c r="E730" s="13"/>
      <c r="F730" s="14"/>
      <c r="G730" s="13"/>
      <c r="H730" s="15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2:60">
      <c r="B731" s="11"/>
      <c r="C731" s="12"/>
      <c r="D731" s="8"/>
      <c r="E731" s="13"/>
      <c r="F731" s="14"/>
      <c r="G731" s="13"/>
      <c r="H731" s="15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2:60">
      <c r="B732" s="11"/>
      <c r="C732" s="12"/>
      <c r="D732" s="8"/>
      <c r="E732" s="13"/>
      <c r="F732" s="14"/>
      <c r="G732" s="13"/>
      <c r="H732" s="15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2:60">
      <c r="B733" s="11"/>
      <c r="C733" s="12"/>
      <c r="D733" s="8"/>
      <c r="E733" s="13"/>
      <c r="F733" s="14"/>
      <c r="G733" s="13"/>
      <c r="H733" s="15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2:60">
      <c r="B734" s="11"/>
      <c r="C734" s="12"/>
      <c r="D734" s="8"/>
      <c r="E734" s="13"/>
      <c r="F734" s="14"/>
      <c r="G734" s="13"/>
      <c r="H734" s="15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2:60">
      <c r="B735" s="11"/>
      <c r="C735" s="12"/>
      <c r="D735" s="8"/>
      <c r="E735" s="13"/>
      <c r="F735" s="14"/>
      <c r="G735" s="13"/>
      <c r="H735" s="15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2:60">
      <c r="B736" s="11"/>
      <c r="C736" s="12"/>
      <c r="D736" s="8"/>
      <c r="E736" s="13"/>
      <c r="F736" s="14"/>
      <c r="G736" s="13"/>
      <c r="H736" s="15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2:60">
      <c r="B737" s="11"/>
      <c r="C737" s="12"/>
      <c r="D737" s="8"/>
      <c r="E737" s="13"/>
      <c r="F737" s="14"/>
      <c r="G737" s="13"/>
      <c r="H737" s="15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2:60">
      <c r="B738" s="11"/>
      <c r="C738" s="12"/>
      <c r="D738" s="8"/>
      <c r="E738" s="13"/>
      <c r="F738" s="14"/>
      <c r="G738" s="13"/>
      <c r="H738" s="15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2:60">
      <c r="B739" s="11"/>
      <c r="C739" s="12"/>
      <c r="D739" s="8"/>
      <c r="E739" s="13"/>
      <c r="F739" s="14"/>
      <c r="G739" s="13"/>
      <c r="H739" s="15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2:60">
      <c r="B740" s="11"/>
      <c r="C740" s="12"/>
      <c r="D740" s="8"/>
      <c r="E740" s="13"/>
      <c r="F740" s="14"/>
      <c r="G740" s="13"/>
      <c r="H740" s="15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2:60">
      <c r="B741" s="11"/>
      <c r="C741" s="12"/>
      <c r="D741" s="8"/>
      <c r="E741" s="13"/>
      <c r="F741" s="14"/>
      <c r="G741" s="13"/>
      <c r="H741" s="15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2:60">
      <c r="B742" s="11"/>
      <c r="C742" s="12"/>
      <c r="D742" s="8"/>
      <c r="E742" s="13"/>
      <c r="F742" s="14"/>
      <c r="G742" s="13"/>
      <c r="H742" s="15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2:60">
      <c r="B743" s="11"/>
      <c r="C743" s="12"/>
      <c r="D743" s="8"/>
      <c r="E743" s="13"/>
      <c r="F743" s="14"/>
      <c r="G743" s="13"/>
      <c r="H743" s="15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2:60">
      <c r="B744" s="11"/>
      <c r="C744" s="12"/>
      <c r="D744" s="8"/>
      <c r="E744" s="13"/>
      <c r="F744" s="14"/>
      <c r="G744" s="13"/>
      <c r="H744" s="15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2:60">
      <c r="B745" s="11"/>
      <c r="C745" s="12"/>
      <c r="D745" s="8"/>
      <c r="E745" s="13"/>
      <c r="F745" s="14"/>
      <c r="G745" s="13"/>
      <c r="H745" s="15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2:60">
      <c r="B746" s="11"/>
      <c r="C746" s="12"/>
      <c r="D746" s="8"/>
      <c r="E746" s="13"/>
      <c r="F746" s="14"/>
      <c r="G746" s="13"/>
      <c r="H746" s="15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2:60">
      <c r="B747" s="11"/>
      <c r="C747" s="12"/>
      <c r="D747" s="8"/>
      <c r="E747" s="13"/>
      <c r="F747" s="14"/>
      <c r="G747" s="13"/>
      <c r="H747" s="15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2:60">
      <c r="B748" s="11"/>
      <c r="C748" s="12"/>
      <c r="D748" s="8"/>
      <c r="E748" s="13"/>
      <c r="F748" s="14"/>
      <c r="G748" s="13"/>
      <c r="H748" s="15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2:60">
      <c r="B749" s="11"/>
      <c r="C749" s="12"/>
      <c r="D749" s="8"/>
      <c r="E749" s="13"/>
      <c r="F749" s="14"/>
      <c r="G749" s="13"/>
      <c r="H749" s="15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2:60">
      <c r="B750" s="11"/>
      <c r="C750" s="12"/>
      <c r="D750" s="8"/>
      <c r="E750" s="13"/>
      <c r="F750" s="14"/>
      <c r="G750" s="13"/>
      <c r="H750" s="15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2:60">
      <c r="B751" s="11"/>
      <c r="C751" s="12"/>
      <c r="D751" s="8"/>
      <c r="E751" s="13"/>
      <c r="F751" s="14"/>
      <c r="G751" s="13"/>
      <c r="H751" s="15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2:60">
      <c r="B752" s="11"/>
      <c r="C752" s="12"/>
      <c r="D752" s="8"/>
      <c r="E752" s="13"/>
      <c r="F752" s="14"/>
      <c r="G752" s="13"/>
      <c r="H752" s="15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2:60">
      <c r="B753" s="11"/>
      <c r="C753" s="12"/>
      <c r="D753" s="8"/>
      <c r="E753" s="13"/>
      <c r="F753" s="14"/>
      <c r="G753" s="13"/>
      <c r="H753" s="15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2:60">
      <c r="B754" s="11"/>
      <c r="C754" s="12"/>
      <c r="D754" s="8"/>
      <c r="E754" s="13"/>
      <c r="F754" s="14"/>
      <c r="G754" s="13"/>
      <c r="H754" s="15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2:60">
      <c r="B755" s="11"/>
      <c r="C755" s="12"/>
      <c r="D755" s="8"/>
      <c r="E755" s="13"/>
      <c r="F755" s="14"/>
      <c r="G755" s="13"/>
      <c r="H755" s="15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2:60">
      <c r="B756" s="11"/>
      <c r="C756" s="12"/>
      <c r="D756" s="8"/>
      <c r="E756" s="13"/>
      <c r="F756" s="14"/>
      <c r="G756" s="13"/>
      <c r="H756" s="15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2:60">
      <c r="B757" s="11"/>
      <c r="C757" s="12"/>
      <c r="D757" s="8"/>
      <c r="E757" s="13"/>
      <c r="F757" s="14"/>
      <c r="G757" s="13"/>
      <c r="H757" s="15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2:60">
      <c r="B758" s="11"/>
      <c r="C758" s="12"/>
      <c r="D758" s="8"/>
      <c r="E758" s="13"/>
      <c r="F758" s="14"/>
      <c r="G758" s="13"/>
      <c r="H758" s="15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2:60">
      <c r="B759" s="11"/>
      <c r="C759" s="12"/>
      <c r="D759" s="8"/>
      <c r="E759" s="13"/>
      <c r="F759" s="14"/>
      <c r="G759" s="13"/>
      <c r="H759" s="15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2:60">
      <c r="B760" s="11"/>
      <c r="C760" s="12"/>
      <c r="D760" s="8"/>
      <c r="E760" s="13"/>
      <c r="F760" s="14"/>
      <c r="G760" s="13"/>
      <c r="H760" s="15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2:60">
      <c r="B761" s="11"/>
      <c r="C761" s="12"/>
      <c r="D761" s="8"/>
      <c r="E761" s="13"/>
      <c r="F761" s="14"/>
      <c r="G761" s="13"/>
      <c r="H761" s="15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2:60">
      <c r="B762" s="11"/>
      <c r="C762" s="12"/>
      <c r="D762" s="8"/>
      <c r="E762" s="13"/>
      <c r="F762" s="14"/>
      <c r="G762" s="13"/>
      <c r="H762" s="15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2:60">
      <c r="B763" s="11"/>
      <c r="C763" s="12"/>
      <c r="D763" s="8"/>
      <c r="E763" s="13"/>
      <c r="F763" s="14"/>
      <c r="G763" s="13"/>
      <c r="H763" s="15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2:60">
      <c r="B764" s="11"/>
      <c r="C764" s="12"/>
      <c r="D764" s="8"/>
      <c r="E764" s="13"/>
      <c r="F764" s="14"/>
      <c r="G764" s="13"/>
      <c r="H764" s="15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2:60">
      <c r="B765" s="11"/>
      <c r="C765" s="12"/>
      <c r="D765" s="8"/>
      <c r="E765" s="13"/>
      <c r="F765" s="14"/>
      <c r="G765" s="13"/>
      <c r="H765" s="15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2:60">
      <c r="B766" s="11"/>
      <c r="C766" s="12"/>
      <c r="D766" s="8"/>
      <c r="E766" s="13"/>
      <c r="F766" s="14"/>
      <c r="G766" s="13"/>
      <c r="H766" s="15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2:60">
      <c r="B767" s="11"/>
      <c r="C767" s="12"/>
      <c r="D767" s="8"/>
      <c r="E767" s="13"/>
      <c r="F767" s="14"/>
      <c r="G767" s="13"/>
      <c r="H767" s="15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2:60">
      <c r="B768" s="11"/>
      <c r="C768" s="12"/>
      <c r="D768" s="8"/>
      <c r="E768" s="13"/>
      <c r="F768" s="14"/>
      <c r="G768" s="13"/>
      <c r="H768" s="15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2:60">
      <c r="B769" s="11"/>
      <c r="C769" s="12"/>
      <c r="D769" s="8"/>
      <c r="E769" s="13"/>
      <c r="F769" s="14"/>
      <c r="G769" s="13"/>
      <c r="H769" s="15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2:60">
      <c r="B770" s="11"/>
      <c r="C770" s="12"/>
      <c r="D770" s="8"/>
      <c r="E770" s="13"/>
      <c r="F770" s="14"/>
      <c r="G770" s="13"/>
      <c r="H770" s="15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2:60">
      <c r="B771" s="11"/>
      <c r="C771" s="12"/>
      <c r="D771" s="8"/>
      <c r="E771" s="13"/>
      <c r="F771" s="14"/>
      <c r="G771" s="13"/>
      <c r="H771" s="15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2:60">
      <c r="B772" s="11"/>
      <c r="C772" s="12"/>
      <c r="D772" s="8"/>
      <c r="E772" s="13"/>
      <c r="F772" s="14"/>
      <c r="G772" s="13"/>
      <c r="H772" s="15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2:60">
      <c r="B773" s="11"/>
      <c r="C773" s="12"/>
      <c r="D773" s="8"/>
      <c r="E773" s="13"/>
      <c r="F773" s="14"/>
      <c r="G773" s="13"/>
      <c r="H773" s="15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2:60">
      <c r="B774" s="11"/>
      <c r="C774" s="12"/>
      <c r="D774" s="8"/>
      <c r="E774" s="13"/>
      <c r="F774" s="14"/>
      <c r="G774" s="13"/>
      <c r="H774" s="15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2:60">
      <c r="B775" s="11"/>
      <c r="C775" s="12"/>
      <c r="D775" s="8"/>
      <c r="E775" s="13"/>
      <c r="F775" s="14"/>
      <c r="G775" s="13"/>
      <c r="H775" s="1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2:60">
      <c r="B776" s="11"/>
      <c r="C776" s="12"/>
      <c r="D776" s="8"/>
      <c r="E776" s="13"/>
      <c r="F776" s="14"/>
      <c r="G776" s="13"/>
      <c r="H776" s="15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2:60">
      <c r="B777" s="11"/>
      <c r="C777" s="12"/>
      <c r="D777" s="8"/>
      <c r="E777" s="13"/>
      <c r="F777" s="14"/>
      <c r="G777" s="13"/>
      <c r="H777" s="15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2:60">
      <c r="B778" s="11"/>
      <c r="C778" s="12"/>
      <c r="D778" s="8"/>
      <c r="E778" s="13"/>
      <c r="F778" s="14"/>
      <c r="G778" s="13"/>
      <c r="H778" s="15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2:60">
      <c r="B779" s="11"/>
      <c r="C779" s="12"/>
      <c r="D779" s="8"/>
      <c r="E779" s="13"/>
      <c r="F779" s="14"/>
      <c r="G779" s="13"/>
      <c r="H779" s="15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2:60">
      <c r="B780" s="11"/>
      <c r="C780" s="12"/>
      <c r="D780" s="8"/>
      <c r="E780" s="13"/>
      <c r="F780" s="14"/>
      <c r="G780" s="13"/>
      <c r="H780" s="15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2:60">
      <c r="B781" s="11"/>
      <c r="C781" s="12"/>
      <c r="D781" s="8"/>
      <c r="E781" s="13"/>
      <c r="F781" s="14"/>
      <c r="G781" s="13"/>
      <c r="H781" s="15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2:60">
      <c r="B782" s="11"/>
      <c r="C782" s="12"/>
      <c r="D782" s="8"/>
      <c r="E782" s="13"/>
      <c r="F782" s="14"/>
      <c r="G782" s="13"/>
      <c r="H782" s="15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2:60">
      <c r="B783" s="11"/>
      <c r="C783" s="12"/>
      <c r="D783" s="8"/>
      <c r="E783" s="13"/>
      <c r="F783" s="14"/>
      <c r="G783" s="13"/>
      <c r="H783" s="15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2:60">
      <c r="B784" s="11"/>
      <c r="C784" s="12"/>
      <c r="D784" s="8"/>
      <c r="E784" s="13"/>
      <c r="F784" s="14"/>
      <c r="G784" s="13"/>
      <c r="H784" s="15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2:60">
      <c r="B785" s="11"/>
      <c r="C785" s="12"/>
      <c r="D785" s="8"/>
      <c r="E785" s="13"/>
      <c r="F785" s="14"/>
      <c r="G785" s="13"/>
      <c r="H785" s="15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2:60">
      <c r="B786" s="11"/>
      <c r="C786" s="12"/>
      <c r="D786" s="8"/>
      <c r="E786" s="13"/>
      <c r="F786" s="14"/>
      <c r="G786" s="13"/>
      <c r="H786" s="15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2:60">
      <c r="B787" s="11"/>
      <c r="C787" s="12"/>
      <c r="D787" s="8"/>
      <c r="E787" s="13"/>
      <c r="F787" s="14"/>
      <c r="G787" s="13"/>
      <c r="H787" s="15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2:60">
      <c r="B788" s="11"/>
      <c r="C788" s="12"/>
      <c r="D788" s="8"/>
      <c r="E788" s="13"/>
      <c r="F788" s="14"/>
      <c r="G788" s="13"/>
      <c r="H788" s="15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2:60">
      <c r="B789" s="11"/>
      <c r="C789" s="12"/>
      <c r="D789" s="8"/>
      <c r="E789" s="13"/>
      <c r="F789" s="14"/>
      <c r="G789" s="13"/>
      <c r="H789" s="15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2:60">
      <c r="B790" s="11"/>
      <c r="C790" s="12"/>
      <c r="D790" s="8"/>
      <c r="E790" s="13"/>
      <c r="F790" s="14"/>
      <c r="G790" s="13"/>
      <c r="H790" s="15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2:60">
      <c r="B791" s="11"/>
      <c r="C791" s="12"/>
      <c r="D791" s="8"/>
      <c r="E791" s="13"/>
      <c r="F791" s="14"/>
      <c r="G791" s="13"/>
      <c r="H791" s="15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2:60">
      <c r="B792" s="11"/>
      <c r="C792" s="12"/>
      <c r="D792" s="8"/>
      <c r="E792" s="13"/>
      <c r="F792" s="14"/>
      <c r="G792" s="13"/>
      <c r="H792" s="15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2:60">
      <c r="B793" s="11"/>
      <c r="C793" s="12"/>
      <c r="D793" s="8"/>
      <c r="E793" s="13"/>
      <c r="F793" s="14"/>
      <c r="G793" s="13"/>
      <c r="H793" s="15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2:60">
      <c r="B794" s="11"/>
      <c r="C794" s="12"/>
      <c r="D794" s="8"/>
      <c r="E794" s="13"/>
      <c r="F794" s="14"/>
      <c r="G794" s="13"/>
      <c r="H794" s="15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2:60">
      <c r="B795" s="11"/>
      <c r="C795" s="12"/>
      <c r="D795" s="8"/>
      <c r="E795" s="13"/>
      <c r="F795" s="14"/>
      <c r="G795" s="13"/>
      <c r="H795" s="1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2:60">
      <c r="B796" s="11"/>
      <c r="C796" s="12"/>
      <c r="D796" s="8"/>
      <c r="E796" s="13"/>
      <c r="F796" s="14"/>
      <c r="G796" s="13"/>
      <c r="H796" s="15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2:60">
      <c r="B797" s="11"/>
      <c r="C797" s="12"/>
      <c r="D797" s="8"/>
      <c r="E797" s="13"/>
      <c r="F797" s="14"/>
      <c r="G797" s="13"/>
      <c r="H797" s="15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2:60">
      <c r="B798" s="11"/>
      <c r="C798" s="12"/>
      <c r="D798" s="8"/>
      <c r="E798" s="13"/>
      <c r="F798" s="14"/>
      <c r="G798" s="13"/>
      <c r="H798" s="15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2:60">
      <c r="B799" s="11"/>
      <c r="C799" s="12"/>
      <c r="D799" s="8"/>
      <c r="E799" s="13"/>
      <c r="F799" s="14"/>
      <c r="G799" s="13"/>
      <c r="H799" s="15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2:60">
      <c r="B800" s="11"/>
      <c r="C800" s="12"/>
      <c r="D800" s="8"/>
      <c r="E800" s="13"/>
      <c r="F800" s="14"/>
      <c r="G800" s="13"/>
      <c r="H800" s="15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2:60">
      <c r="B801" s="11"/>
      <c r="C801" s="12"/>
      <c r="D801" s="8"/>
      <c r="E801" s="13"/>
      <c r="F801" s="14"/>
      <c r="G801" s="13"/>
      <c r="H801" s="15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2:60">
      <c r="B802" s="11"/>
      <c r="C802" s="12"/>
      <c r="D802" s="8"/>
      <c r="E802" s="13"/>
      <c r="F802" s="14"/>
      <c r="G802" s="13"/>
      <c r="H802" s="15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2:60">
      <c r="B803" s="11"/>
      <c r="C803" s="12"/>
      <c r="D803" s="8"/>
      <c r="E803" s="13"/>
      <c r="F803" s="14"/>
      <c r="G803" s="13"/>
      <c r="H803" s="15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2:60">
      <c r="B804" s="11"/>
      <c r="C804" s="12"/>
      <c r="D804" s="8"/>
      <c r="E804" s="13"/>
      <c r="F804" s="14"/>
      <c r="G804" s="13"/>
      <c r="H804" s="15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2:60">
      <c r="B805" s="11"/>
      <c r="C805" s="12"/>
      <c r="D805" s="8"/>
      <c r="E805" s="13"/>
      <c r="F805" s="14"/>
      <c r="G805" s="13"/>
      <c r="H805" s="15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2:60">
      <c r="B806" s="11"/>
      <c r="C806" s="12"/>
      <c r="D806" s="8"/>
      <c r="E806" s="13"/>
      <c r="F806" s="14"/>
      <c r="G806" s="13"/>
      <c r="H806" s="15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2:60">
      <c r="B807" s="11"/>
      <c r="C807" s="12"/>
      <c r="D807" s="8"/>
      <c r="E807" s="13"/>
      <c r="F807" s="14"/>
      <c r="G807" s="13"/>
      <c r="H807" s="15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2:60">
      <c r="B808" s="11"/>
      <c r="C808" s="12"/>
      <c r="D808" s="8"/>
      <c r="E808" s="13"/>
      <c r="F808" s="14"/>
      <c r="G808" s="13"/>
      <c r="H808" s="15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2:60">
      <c r="B809" s="11"/>
      <c r="C809" s="12"/>
      <c r="D809" s="8"/>
      <c r="E809" s="13"/>
      <c r="F809" s="14"/>
      <c r="G809" s="13"/>
      <c r="H809" s="15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2:60">
      <c r="B810" s="11"/>
      <c r="C810" s="12"/>
      <c r="D810" s="8"/>
      <c r="E810" s="13"/>
      <c r="F810" s="14"/>
      <c r="G810" s="13"/>
      <c r="H810" s="15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2:60">
      <c r="B811" s="11"/>
      <c r="C811" s="12"/>
      <c r="D811" s="8"/>
      <c r="E811" s="13"/>
      <c r="F811" s="14"/>
      <c r="G811" s="13"/>
      <c r="H811" s="15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2:60">
      <c r="B812" s="11"/>
      <c r="C812" s="12"/>
      <c r="D812" s="8"/>
      <c r="E812" s="13"/>
      <c r="F812" s="14"/>
      <c r="G812" s="13"/>
      <c r="H812" s="15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2:60">
      <c r="B813" s="11"/>
      <c r="C813" s="12"/>
      <c r="D813" s="8"/>
      <c r="E813" s="13"/>
      <c r="F813" s="14"/>
      <c r="G813" s="13"/>
      <c r="H813" s="15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2:60">
      <c r="B814" s="11"/>
      <c r="C814" s="12"/>
      <c r="D814" s="8"/>
      <c r="E814" s="13"/>
      <c r="F814" s="14"/>
      <c r="G814" s="13"/>
      <c r="H814" s="15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2:60">
      <c r="B815" s="11"/>
      <c r="C815" s="12"/>
      <c r="D815" s="8"/>
      <c r="E815" s="13"/>
      <c r="F815" s="14"/>
      <c r="G815" s="13"/>
      <c r="H815" s="15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2:60">
      <c r="B816" s="11"/>
      <c r="C816" s="12"/>
      <c r="D816" s="8"/>
      <c r="E816" s="13"/>
      <c r="F816" s="14"/>
      <c r="G816" s="13"/>
      <c r="H816" s="15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2:60">
      <c r="B817" s="11"/>
      <c r="C817" s="12"/>
      <c r="D817" s="8"/>
      <c r="E817" s="13"/>
      <c r="F817" s="14"/>
      <c r="G817" s="13"/>
      <c r="H817" s="15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2:60">
      <c r="B818" s="11"/>
      <c r="C818" s="12"/>
      <c r="D818" s="8"/>
      <c r="E818" s="13"/>
      <c r="F818" s="14"/>
      <c r="G818" s="13"/>
      <c r="H818" s="15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2:60">
      <c r="B819" s="11"/>
      <c r="C819" s="12"/>
      <c r="D819" s="8"/>
      <c r="E819" s="13"/>
      <c r="F819" s="14"/>
      <c r="G819" s="13"/>
      <c r="H819" s="15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</sheetData>
  <mergeCells count="20">
    <mergeCell ref="AP117:AS117"/>
    <mergeCell ref="B86:G86"/>
    <mergeCell ref="AH5:AK5"/>
    <mergeCell ref="B14:G14"/>
    <mergeCell ref="AP5:BA5"/>
    <mergeCell ref="B22:G22"/>
    <mergeCell ref="B62:G62"/>
    <mergeCell ref="AD5:AG5"/>
    <mergeCell ref="AL117:AO117"/>
    <mergeCell ref="B94:G94"/>
    <mergeCell ref="B70:G70"/>
    <mergeCell ref="B6:G6"/>
    <mergeCell ref="B78:G78"/>
    <mergeCell ref="B54:G54"/>
    <mergeCell ref="B46:G46"/>
    <mergeCell ref="Q2:V2"/>
    <mergeCell ref="B38:G38"/>
    <mergeCell ref="Z102:AC102"/>
    <mergeCell ref="B30:G30"/>
    <mergeCell ref="Z5:AC5"/>
  </mergeCells>
  <conditionalFormatting sqref="K10:O10 K18:O18 K26:O26 K34:O34 K42:O42 K50:O50 K58:O58 K66:O66">
    <cfRule type="expression" dxfId="9" priority="1" stopIfTrue="1">
      <formula>OR($J10&lt;3)</formula>
    </cfRule>
  </conditionalFormatting>
  <conditionalFormatting sqref="K11:O11 K19:O19 K27:O27 K35:O35 K43:O43 K51:O51 K59:O59 K67:O67">
    <cfRule type="expression" dxfId="8" priority="2" stopIfTrue="1">
      <formula>$J11&lt;3</formula>
    </cfRule>
  </conditionalFormatting>
  <conditionalFormatting sqref="K74:O74">
    <cfRule type="expression" dxfId="7" priority="3" stopIfTrue="1">
      <formula>OR($J74&lt;3)</formula>
    </cfRule>
  </conditionalFormatting>
  <conditionalFormatting sqref="K75:O75">
    <cfRule type="expression" dxfId="6" priority="4" stopIfTrue="1">
      <formula>$J75&lt;3</formula>
    </cfRule>
  </conditionalFormatting>
  <conditionalFormatting sqref="K82:O82">
    <cfRule type="expression" dxfId="5" priority="5" stopIfTrue="1">
      <formula>OR($J82&lt;3)</formula>
    </cfRule>
  </conditionalFormatting>
  <conditionalFormatting sqref="K83:O83">
    <cfRule type="expression" dxfId="4" priority="6" stopIfTrue="1">
      <formula>$J83&lt;3</formula>
    </cfRule>
  </conditionalFormatting>
  <conditionalFormatting sqref="K90:O90">
    <cfRule type="expression" dxfId="3" priority="7" stopIfTrue="1">
      <formula>OR($J90&lt;3)</formula>
    </cfRule>
  </conditionalFormatting>
  <conditionalFormatting sqref="K91:O91">
    <cfRule type="expression" dxfId="2" priority="8" stopIfTrue="1">
      <formula>$J91&lt;3</formula>
    </cfRule>
  </conditionalFormatting>
  <conditionalFormatting sqref="K98:O98">
    <cfRule type="expression" dxfId="1" priority="9" stopIfTrue="1">
      <formula>OR($J98&lt;3)</formula>
    </cfRule>
  </conditionalFormatting>
  <conditionalFormatting sqref="K99:O99">
    <cfRule type="expression" dxfId="0" priority="10" stopIfTrue="1">
      <formula>$J99&lt;3</formula>
    </cfRule>
  </conditionalFormatting>
  <dataValidations count="1">
    <dataValidation type="whole" allowBlank="1" sqref="G7:G619 E7:E619" xr:uid="{00000000-0002-0000-0100-000000000000}">
      <formula1>0</formula1>
      <formula2>20</formula2>
    </dataValidation>
  </dataValidations>
  <pageMargins left="0.75" right="0.75" top="1" bottom="1" header="0" footer="0"/>
  <pageSetup orientation="portrait"/>
  <ignoredErrors>
    <ignoredError sqref="D8 D16 D24 D32 D40 D48 D56 D64 D72 D80 D88 D9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002"/>
  <sheetViews>
    <sheetView showGridLines="0" tabSelected="1" zoomScale="59" workbookViewId="0">
      <selection activeCell="T46" sqref="T46"/>
    </sheetView>
  </sheetViews>
  <sheetFormatPr baseColWidth="10" defaultColWidth="10.140625" defaultRowHeight="15" customHeight="1"/>
  <cols>
    <col min="1" max="1" width="4.5703125" style="157" customWidth="1"/>
    <col min="2" max="2" width="14" customWidth="1"/>
    <col min="3" max="3" width="12.42578125" customWidth="1"/>
    <col min="4" max="4" width="20.140625" customWidth="1"/>
    <col min="5" max="5" width="3.7109375" customWidth="1"/>
    <col min="6" max="6" width="21.42578125" customWidth="1"/>
    <col min="7" max="7" width="3.7109375" customWidth="1"/>
    <col min="8" max="8" width="2" customWidth="1"/>
    <col min="9" max="9" width="11.42578125" customWidth="1"/>
    <col min="10" max="10" width="15.7109375" style="156" customWidth="1"/>
    <col min="11" max="11" width="3.42578125" customWidth="1"/>
    <col min="12" max="16" width="15.7109375" customWidth="1"/>
    <col min="17" max="17" width="15.42578125" customWidth="1"/>
    <col min="18" max="18" width="3.7109375" customWidth="1"/>
    <col min="19" max="19" width="15.42578125" customWidth="1"/>
    <col min="20" max="20" width="7.5703125" customWidth="1"/>
    <col min="21" max="21" width="4.7109375" customWidth="1"/>
    <col min="22" max="22" width="2.7109375" customWidth="1"/>
    <col min="23" max="23" width="10.42578125" customWidth="1"/>
    <col min="24" max="24" width="4.7109375" customWidth="1"/>
    <col min="25" max="25" width="2.7109375" customWidth="1"/>
    <col min="26" max="34" width="10.42578125" customWidth="1"/>
  </cols>
  <sheetData>
    <row r="1" spans="2:31" s="157" customFormat="1" ht="15" customHeight="1">
      <c r="J1" s="159"/>
    </row>
    <row r="2" spans="2:31" s="157" customFormat="1" ht="15" customHeight="1">
      <c r="B2" s="203" t="s">
        <v>355</v>
      </c>
      <c r="J2" s="159"/>
    </row>
    <row r="3" spans="2:31" ht="18" customHeight="1">
      <c r="B3" s="156" t="s">
        <v>439</v>
      </c>
      <c r="M3" s="155" t="s">
        <v>254</v>
      </c>
      <c r="N3" s="215" t="s">
        <v>446</v>
      </c>
    </row>
    <row r="4" spans="2:31" ht="18" customHeight="1">
      <c r="B4" s="156" t="s">
        <v>365</v>
      </c>
      <c r="M4" s="155" t="s">
        <v>367</v>
      </c>
      <c r="N4" s="215" t="s">
        <v>447</v>
      </c>
    </row>
    <row r="5" spans="2:31" ht="18" customHeight="1">
      <c r="B5" s="202" t="s">
        <v>366</v>
      </c>
      <c r="C5" s="204" t="s">
        <v>444</v>
      </c>
    </row>
    <row r="6" spans="2:31" ht="18" customHeight="1">
      <c r="C6" s="205" t="s">
        <v>445</v>
      </c>
    </row>
    <row r="7" spans="2:31" ht="18" customHeight="1"/>
    <row r="8" spans="2:31" ht="18" customHeight="1">
      <c r="B8" s="231" t="s">
        <v>141</v>
      </c>
      <c r="C8" s="232"/>
      <c r="D8" s="232"/>
      <c r="E8" s="232"/>
      <c r="F8" s="232"/>
      <c r="G8" s="233"/>
      <c r="I8" s="120"/>
      <c r="J8" s="208"/>
    </row>
    <row r="9" spans="2:31" ht="18" customHeight="1">
      <c r="B9" s="180">
        <f>+'Group Stage Predictions'!B7</f>
        <v>46184.541666666657</v>
      </c>
      <c r="C9" s="181" t="str">
        <f>+'Group Stage Predictions'!C7</f>
        <v>Mexico City</v>
      </c>
      <c r="D9" s="17" t="str">
        <f>+'Group Stage Predictions'!D7</f>
        <v>Mexico (MEX)</v>
      </c>
      <c r="E9" s="185">
        <f>+'Group Stage Predictions'!E7</f>
        <v>1</v>
      </c>
      <c r="F9" s="83" t="str">
        <f>+'Group Stage Predictions'!F7</f>
        <v>South Africa (RSA)</v>
      </c>
      <c r="G9" s="185">
        <f>+'Group Stage Predictions'!G7</f>
        <v>0</v>
      </c>
      <c r="I9" s="120"/>
      <c r="J9" s="227" t="str">
        <f>+IF(ISBLANK('Group Stage Predictions'!E7)," ",'Group Stage Predictions'!K9)</f>
        <v>KOR</v>
      </c>
      <c r="K9" s="121" t="s">
        <v>255</v>
      </c>
      <c r="N9" s="122"/>
      <c r="O9" s="123"/>
      <c r="P9" s="124"/>
    </row>
    <row r="10" spans="2:31" ht="18" customHeight="1">
      <c r="B10" s="180">
        <f>+'Group Stage Predictions'!B8</f>
        <v>46184.833333333343</v>
      </c>
      <c r="C10" s="182" t="str">
        <f>+'Group Stage Predictions'!C8</f>
        <v>Guadalajara</v>
      </c>
      <c r="D10" s="17" t="str">
        <f>+'Group Stage Predictions'!D8</f>
        <v>Korea Republic (KOR)</v>
      </c>
      <c r="E10" s="186">
        <f>+'Group Stage Predictions'!E8</f>
        <v>0</v>
      </c>
      <c r="F10" s="14" t="str">
        <f>+'Group Stage Predictions'!F8</f>
        <v>Czechia (CZE)</v>
      </c>
      <c r="G10" s="188">
        <f>+'Group Stage Predictions'!G8</f>
        <v>0</v>
      </c>
      <c r="I10" s="125">
        <v>43279.541666666657</v>
      </c>
      <c r="J10" s="209"/>
      <c r="K10" s="127"/>
      <c r="N10" s="122"/>
      <c r="O10" s="123"/>
      <c r="P10" s="124"/>
    </row>
    <row r="11" spans="2:31" ht="18" customHeight="1">
      <c r="B11" s="180">
        <f>+'Group Stage Predictions'!B9</f>
        <v>46191.791666666657</v>
      </c>
      <c r="C11" s="182" t="str">
        <f>+'Group Stage Predictions'!C9</f>
        <v>Guadalajara</v>
      </c>
      <c r="D11" s="33" t="str">
        <f>+'Group Stage Predictions'!D9</f>
        <v>Mexico (MEX)</v>
      </c>
      <c r="E11" s="187">
        <f>+'Group Stage Predictions'!E9</f>
        <v>1</v>
      </c>
      <c r="F11" s="14" t="str">
        <f>+'Group Stage Predictions'!F9</f>
        <v>Korea Republic (KOR)</v>
      </c>
      <c r="G11" s="189">
        <f>+'Group Stage Predictions'!G9</f>
        <v>0</v>
      </c>
      <c r="I11" s="128" t="s">
        <v>85</v>
      </c>
      <c r="J11" s="210"/>
      <c r="K11" s="127"/>
      <c r="L11" s="146" t="s">
        <v>166</v>
      </c>
      <c r="N11" s="124"/>
      <c r="O11" s="124"/>
      <c r="P11" s="124"/>
    </row>
    <row r="12" spans="2:31" ht="18" customHeight="1">
      <c r="B12" s="180">
        <f>+'Group Stage Predictions'!B10</f>
        <v>46191.416666666657</v>
      </c>
      <c r="C12" s="182" t="str">
        <f>+'Group Stage Predictions'!C10</f>
        <v>Atlanta</v>
      </c>
      <c r="D12" s="17" t="str">
        <f>+'Group Stage Predictions'!D10</f>
        <v>Czechia (CZE)</v>
      </c>
      <c r="E12" s="186">
        <f>+'Group Stage Predictions'!E10</f>
        <v>0</v>
      </c>
      <c r="F12" s="129" t="str">
        <f>+'Group Stage Predictions'!F10</f>
        <v>South Africa (RSA)</v>
      </c>
      <c r="G12" s="185">
        <f>+'Group Stage Predictions'!G10</f>
        <v>0</v>
      </c>
      <c r="I12" s="128"/>
      <c r="J12" s="209"/>
      <c r="K12" s="127"/>
      <c r="L12" s="127"/>
    </row>
    <row r="13" spans="2:31" ht="18" customHeight="1">
      <c r="B13" s="180">
        <f>+'Group Stage Predictions'!B11</f>
        <v>46197.791666666657</v>
      </c>
      <c r="C13" s="182" t="str">
        <f>+'Group Stage Predictions'!C11</f>
        <v>Mexico City</v>
      </c>
      <c r="D13" s="17" t="str">
        <f>+'Group Stage Predictions'!D11</f>
        <v>Czechia (CZE)</v>
      </c>
      <c r="E13" s="186">
        <f>+'Group Stage Predictions'!E11</f>
        <v>0</v>
      </c>
      <c r="F13" s="14" t="str">
        <f>+'Group Stage Predictions'!F11</f>
        <v>Mexico (MEX)</v>
      </c>
      <c r="G13" s="186">
        <f>+'Group Stage Predictions'!G11</f>
        <v>1</v>
      </c>
      <c r="I13" s="128"/>
      <c r="J13" s="212" t="str">
        <f>+IF(ISBLANK('Group Stage Predictions'!E15)," ",+'Group Stage Predictions'!K17)</f>
        <v>CAN</v>
      </c>
      <c r="K13" s="130" t="s">
        <v>256</v>
      </c>
      <c r="L13" s="127"/>
      <c r="AE13" s="3"/>
    </row>
    <row r="14" spans="2:31" ht="18" customHeight="1">
      <c r="B14" s="183">
        <f>+'Group Stage Predictions'!B12</f>
        <v>46197.791666666657</v>
      </c>
      <c r="C14" s="184" t="str">
        <f>+'Group Stage Predictions'!C12</f>
        <v>Monterrey</v>
      </c>
      <c r="D14" s="68" t="str">
        <f>+'Group Stage Predictions'!D12</f>
        <v>South Africa (RSA)</v>
      </c>
      <c r="E14" s="186">
        <f>+'Group Stage Predictions'!E12</f>
        <v>0</v>
      </c>
      <c r="F14" s="131" t="str">
        <f>+'Group Stage Predictions'!F12</f>
        <v>Korea Republic (KOR)</v>
      </c>
      <c r="G14" s="186">
        <f>+'Group Stage Predictions'!G12</f>
        <v>1</v>
      </c>
      <c r="I14" s="128"/>
      <c r="J14" s="209"/>
      <c r="K14" s="132"/>
      <c r="L14" s="222">
        <v>43285.458333333343</v>
      </c>
    </row>
    <row r="15" spans="2:31" ht="18" customHeight="1">
      <c r="B15" s="11"/>
      <c r="C15" s="12"/>
      <c r="D15" s="8"/>
      <c r="E15" s="13"/>
      <c r="F15" s="14"/>
      <c r="G15" s="13"/>
      <c r="I15" s="128"/>
      <c r="J15" s="209"/>
      <c r="L15" s="223" t="s">
        <v>94</v>
      </c>
      <c r="M15" s="146" t="s">
        <v>238</v>
      </c>
    </row>
    <row r="16" spans="2:31" ht="18" customHeight="1">
      <c r="B16" s="231" t="s">
        <v>163</v>
      </c>
      <c r="C16" s="232"/>
      <c r="D16" s="232"/>
      <c r="E16" s="232"/>
      <c r="F16" s="232"/>
      <c r="G16" s="233"/>
      <c r="I16" s="128"/>
      <c r="J16" s="212" t="str">
        <f>+IF(ISBLANK('Group Stage Predictions'!E47)," ",+'Group Stage Predictions'!K48)</f>
        <v>NED</v>
      </c>
      <c r="K16" s="121" t="s">
        <v>257</v>
      </c>
      <c r="L16" s="133"/>
      <c r="M16" s="127"/>
    </row>
    <row r="17" spans="2:14" ht="18" customHeight="1">
      <c r="B17" s="180">
        <f>+'Group Stage Predictions'!B15</f>
        <v>46185.541666666657</v>
      </c>
      <c r="C17" s="181" t="str">
        <f>+'Group Stage Predictions'!C15</f>
        <v>Toronto</v>
      </c>
      <c r="D17" s="17" t="str">
        <f>+'Group Stage Predictions'!D15</f>
        <v>Canada (CAN)</v>
      </c>
      <c r="E17" s="185">
        <f>+'Group Stage Predictions'!E15</f>
        <v>1</v>
      </c>
      <c r="F17" s="71" t="str">
        <f>+'Group Stage Predictions'!F15</f>
        <v>Bosnia and Herzegovina (BIH)</v>
      </c>
      <c r="G17" s="185">
        <f>+'Group Stage Predictions'!G15</f>
        <v>0</v>
      </c>
      <c r="I17" s="125">
        <v>43280.791666666657</v>
      </c>
      <c r="J17" s="209"/>
      <c r="K17" s="127"/>
      <c r="L17" s="127"/>
      <c r="M17" s="127"/>
    </row>
    <row r="18" spans="2:14" ht="18" customHeight="1">
      <c r="B18" s="180">
        <f>+'Group Stage Predictions'!B16</f>
        <v>46186.541666666664</v>
      </c>
      <c r="C18" s="182" t="str">
        <f>+'Group Stage Predictions'!C16</f>
        <v>San Francisco</v>
      </c>
      <c r="D18" s="17" t="str">
        <f>+'Group Stage Predictions'!D16</f>
        <v>Qatar (QAT)</v>
      </c>
      <c r="E18" s="188">
        <f>+'Group Stage Predictions'!E16</f>
        <v>0</v>
      </c>
      <c r="F18" s="72" t="str">
        <f>+'Group Stage Predictions'!F16</f>
        <v>Switzerland (SUI)</v>
      </c>
      <c r="G18" s="186">
        <f>+'Group Stage Predictions'!G16</f>
        <v>2</v>
      </c>
      <c r="I18" s="128" t="s">
        <v>80</v>
      </c>
      <c r="J18" s="210"/>
      <c r="K18" s="127"/>
      <c r="L18" s="147" t="s">
        <v>238</v>
      </c>
      <c r="M18" s="127"/>
    </row>
    <row r="19" spans="2:14" ht="18" customHeight="1">
      <c r="B19" s="180">
        <f>+'Group Stage Predictions'!B17</f>
        <v>46191.666666666657</v>
      </c>
      <c r="C19" s="182" t="str">
        <f>+'Group Stage Predictions'!C17</f>
        <v>Vancouver</v>
      </c>
      <c r="D19" s="17" t="str">
        <f>+'Group Stage Predictions'!D17</f>
        <v>Canada (CAN)</v>
      </c>
      <c r="E19" s="189">
        <f>+'Group Stage Predictions'!E17</f>
        <v>1</v>
      </c>
      <c r="F19" s="72" t="str">
        <f>+'Group Stage Predictions'!F17</f>
        <v>Qatar (QAT)</v>
      </c>
      <c r="G19" s="187">
        <f>+'Group Stage Predictions'!G17</f>
        <v>0</v>
      </c>
      <c r="I19" s="128"/>
      <c r="J19" s="209"/>
      <c r="K19" s="127"/>
      <c r="M19" s="127"/>
    </row>
    <row r="20" spans="2:14" ht="18" customHeight="1">
      <c r="B20" s="180">
        <f>+'Group Stage Predictions'!B18</f>
        <v>46191.541666666657</v>
      </c>
      <c r="C20" s="182" t="str">
        <f>+'Group Stage Predictions'!C18</f>
        <v>Los Angeles</v>
      </c>
      <c r="D20" s="17" t="str">
        <f>+'Group Stage Predictions'!D18</f>
        <v>Switzerland (SUI)</v>
      </c>
      <c r="E20" s="185">
        <f>+'Group Stage Predictions'!E18</f>
        <v>1</v>
      </c>
      <c r="F20" s="75" t="str">
        <f>+'Group Stage Predictions'!F18</f>
        <v>Bosnia and Herzegovina (BIH)</v>
      </c>
      <c r="G20" s="186">
        <f>+'Group Stage Predictions'!G18</f>
        <v>0</v>
      </c>
      <c r="I20" s="128"/>
      <c r="J20" s="212" t="str">
        <f>+IF(ISBLANK('Group Stage Predictions'!G23)," ",+'Group Stage Predictions'!K25)</f>
        <v>MAR</v>
      </c>
      <c r="K20" s="130" t="s">
        <v>258</v>
      </c>
      <c r="M20" s="127"/>
    </row>
    <row r="21" spans="2:14" ht="18" customHeight="1">
      <c r="B21" s="180">
        <f>+'Group Stage Predictions'!B19</f>
        <v>46197.541666666657</v>
      </c>
      <c r="C21" s="182" t="str">
        <f>+'Group Stage Predictions'!C19</f>
        <v>Vancouver</v>
      </c>
      <c r="D21" s="17" t="str">
        <f>+'Group Stage Predictions'!D19</f>
        <v>Switzerland (SUI)</v>
      </c>
      <c r="E21" s="186">
        <f>+'Group Stage Predictions'!E19</f>
        <v>1</v>
      </c>
      <c r="F21" s="72" t="str">
        <f>+'Group Stage Predictions'!F19</f>
        <v>Canada (CAN)</v>
      </c>
      <c r="G21" s="186">
        <f>+'Group Stage Predictions'!G19</f>
        <v>0</v>
      </c>
      <c r="I21" s="128"/>
      <c r="J21" s="209"/>
      <c r="M21" s="134"/>
    </row>
    <row r="22" spans="2:14" ht="18" customHeight="1">
      <c r="B22" s="183">
        <f>+'Group Stage Predictions'!B20</f>
        <v>46197.541666666657</v>
      </c>
      <c r="C22" s="184" t="str">
        <f>+'Group Stage Predictions'!C20</f>
        <v>Seattle</v>
      </c>
      <c r="D22" s="77" t="str">
        <f>+'Group Stage Predictions'!D20</f>
        <v>Bosnia and Herzegovina (BIH)</v>
      </c>
      <c r="E22" s="186">
        <f>+'Group Stage Predictions'!E20</f>
        <v>1</v>
      </c>
      <c r="F22" s="78" t="str">
        <f>+'Group Stage Predictions'!F20</f>
        <v>Qatar (QAT)</v>
      </c>
      <c r="G22" s="186">
        <f>+'Group Stage Predictions'!G20</f>
        <v>0</v>
      </c>
      <c r="I22" s="128"/>
      <c r="J22" s="209"/>
      <c r="M22" s="222">
        <v>43290.583333333343</v>
      </c>
    </row>
    <row r="23" spans="2:14" ht="18" customHeight="1">
      <c r="B23" s="79"/>
      <c r="C23" s="80"/>
      <c r="D23" s="81"/>
      <c r="E23" s="13"/>
      <c r="F23" s="82"/>
      <c r="G23" s="13"/>
      <c r="I23" s="128"/>
      <c r="J23" s="212" t="str">
        <f>+IF(ISBLANK('Group Stage Predictions'!E39)," ",+'Group Stage Predictions'!K40)</f>
        <v>GER</v>
      </c>
      <c r="K23" s="121" t="s">
        <v>128</v>
      </c>
      <c r="M23" s="226" t="s">
        <v>89</v>
      </c>
      <c r="N23" s="146" t="s">
        <v>188</v>
      </c>
    </row>
    <row r="24" spans="2:14" ht="18" customHeight="1">
      <c r="B24" s="231" t="s">
        <v>183</v>
      </c>
      <c r="C24" s="232"/>
      <c r="D24" s="232"/>
      <c r="E24" s="232"/>
      <c r="F24" s="232"/>
      <c r="G24" s="233"/>
      <c r="I24" s="143">
        <v>43280.604166666657</v>
      </c>
      <c r="J24" s="209"/>
      <c r="K24" s="127"/>
      <c r="M24" s="133"/>
      <c r="N24" s="136"/>
    </row>
    <row r="25" spans="2:14" ht="18" customHeight="1">
      <c r="B25" s="180">
        <f>+'Group Stage Predictions'!B23</f>
        <v>46186.666666666657</v>
      </c>
      <c r="C25" s="181" t="str">
        <f>+'Group Stage Predictions'!C23</f>
        <v>New Jersey</v>
      </c>
      <c r="D25" s="17" t="str">
        <f>+'Group Stage Predictions'!D23</f>
        <v>Brazil (BRA)</v>
      </c>
      <c r="E25" s="185">
        <f>+'Group Stage Predictions'!E23</f>
        <v>1</v>
      </c>
      <c r="F25" s="83" t="str">
        <f>+'Group Stage Predictions'!F23</f>
        <v>Morocco (MAR)</v>
      </c>
      <c r="G25" s="185">
        <f>+'Group Stage Predictions'!G23</f>
        <v>0</v>
      </c>
      <c r="I25" s="128" t="s">
        <v>89</v>
      </c>
      <c r="J25" s="210"/>
      <c r="K25" s="127"/>
      <c r="L25" s="146" t="s">
        <v>220</v>
      </c>
      <c r="M25" s="127"/>
      <c r="N25" s="127"/>
    </row>
    <row r="26" spans="2:14" ht="18" customHeight="1">
      <c r="B26" s="180">
        <f>+'Group Stage Predictions'!B24</f>
        <v>46186.791666666657</v>
      </c>
      <c r="C26" s="182" t="str">
        <f>+'Group Stage Predictions'!C24</f>
        <v>Boston</v>
      </c>
      <c r="D26" s="17" t="str">
        <f>+'Group Stage Predictions'!D24</f>
        <v>Haiti (HAI)</v>
      </c>
      <c r="E26" s="188">
        <f>+'Group Stage Predictions'!E24</f>
        <v>0</v>
      </c>
      <c r="F26" s="72" t="str">
        <f>+'Group Stage Predictions'!F24</f>
        <v>Scotland (SCO)</v>
      </c>
      <c r="G26" s="186">
        <f>+'Group Stage Predictions'!G24</f>
        <v>2</v>
      </c>
      <c r="I26" s="128"/>
      <c r="J26" s="209"/>
      <c r="K26" s="127"/>
      <c r="L26" s="127"/>
      <c r="M26" s="127"/>
      <c r="N26" s="127"/>
    </row>
    <row r="27" spans="2:14" ht="18" customHeight="1">
      <c r="B27" s="180">
        <f>+'Group Stage Predictions'!B25</f>
        <v>46192.770833333343</v>
      </c>
      <c r="C27" s="182" t="str">
        <f>+'Group Stage Predictions'!C25</f>
        <v>Philadelphia</v>
      </c>
      <c r="D27" s="17" t="str">
        <f>+'Group Stage Predictions'!D25</f>
        <v>Brazil (BRA)</v>
      </c>
      <c r="E27" s="189">
        <f>+'Group Stage Predictions'!E25</f>
        <v>5</v>
      </c>
      <c r="F27" s="72" t="str">
        <f>+'Group Stage Predictions'!F25</f>
        <v>Haiti (HAI)</v>
      </c>
      <c r="G27" s="187">
        <f>+'Group Stage Predictions'!G25</f>
        <v>0</v>
      </c>
      <c r="I27" s="128"/>
      <c r="J27" s="213" t="str">
        <f>+IF(ISBLANK('Group Stage Predictions'!E47)," ",'Group Stage Predictions'!AO121)</f>
        <v>SCO</v>
      </c>
      <c r="K27" s="121" t="s">
        <v>259</v>
      </c>
      <c r="L27" s="133"/>
      <c r="M27" s="127"/>
      <c r="N27" s="127"/>
    </row>
    <row r="28" spans="2:14" ht="18" customHeight="1">
      <c r="B28" s="180">
        <f>+'Group Stage Predictions'!B26</f>
        <v>46192.666666666657</v>
      </c>
      <c r="C28" s="182" t="str">
        <f>+'Group Stage Predictions'!C26</f>
        <v>Boston</v>
      </c>
      <c r="D28" s="17" t="str">
        <f>+'Group Stage Predictions'!D26</f>
        <v>Scotland (SCO)</v>
      </c>
      <c r="E28" s="185">
        <f>+'Group Stage Predictions'!E26</f>
        <v>0</v>
      </c>
      <c r="F28" s="84" t="str">
        <f>+'Group Stage Predictions'!F26</f>
        <v>Morocco (MAR)</v>
      </c>
      <c r="G28" s="186">
        <f>+'Group Stage Predictions'!G26</f>
        <v>1</v>
      </c>
      <c r="I28" s="128"/>
      <c r="J28" s="209"/>
      <c r="K28" s="126"/>
      <c r="L28" s="222">
        <v>43285.625</v>
      </c>
      <c r="M28" s="127"/>
      <c r="N28" s="127"/>
    </row>
    <row r="29" spans="2:14" ht="18" customHeight="1">
      <c r="B29" s="180">
        <f>+'Group Stage Predictions'!B27</f>
        <v>46197.666666666657</v>
      </c>
      <c r="C29" s="182" t="str">
        <f>+'Group Stage Predictions'!C27</f>
        <v>Miami</v>
      </c>
      <c r="D29" s="17" t="str">
        <f>+'Group Stage Predictions'!D27</f>
        <v>Scotland (SCO)</v>
      </c>
      <c r="E29" s="186">
        <f>+'Group Stage Predictions'!E27</f>
        <v>0</v>
      </c>
      <c r="F29" s="72" t="str">
        <f>+'Group Stage Predictions'!F27</f>
        <v>Brazil (BRA)</v>
      </c>
      <c r="G29" s="186">
        <f>+'Group Stage Predictions'!G27</f>
        <v>1</v>
      </c>
      <c r="I29" s="128"/>
      <c r="J29" s="209"/>
      <c r="K29" s="126"/>
      <c r="L29" s="223" t="s">
        <v>90</v>
      </c>
      <c r="M29" s="127"/>
      <c r="N29" s="127"/>
    </row>
    <row r="30" spans="2:14" ht="18" customHeight="1">
      <c r="B30" s="183">
        <f>+'Group Stage Predictions'!B28</f>
        <v>46197.666666666657</v>
      </c>
      <c r="C30" s="184" t="str">
        <f>+'Group Stage Predictions'!C28</f>
        <v>Atlanta</v>
      </c>
      <c r="D30" s="68" t="str">
        <f>+'Group Stage Predictions'!D28</f>
        <v>Morocco (MAR)</v>
      </c>
      <c r="E30" s="186">
        <f>+'Group Stage Predictions'!E28</f>
        <v>3</v>
      </c>
      <c r="F30" s="78" t="str">
        <f>+'Group Stage Predictions'!F28</f>
        <v>Haiti (HAI)</v>
      </c>
      <c r="G30" s="186">
        <f>+'Group Stage Predictions'!G28</f>
        <v>0</v>
      </c>
      <c r="I30" s="128"/>
      <c r="J30" s="212" t="str">
        <f>+IF(ISBLANK('Group Stage Predictions'!E71)," ",'Group Stage Predictions'!K72)</f>
        <v>FRA</v>
      </c>
      <c r="K30" s="121" t="s">
        <v>130</v>
      </c>
      <c r="M30" s="147" t="s">
        <v>188</v>
      </c>
      <c r="N30" s="127"/>
    </row>
    <row r="31" spans="2:14" ht="18" customHeight="1">
      <c r="B31" s="79"/>
      <c r="C31" s="80"/>
      <c r="D31" s="81"/>
      <c r="E31" s="13"/>
      <c r="F31" s="82"/>
      <c r="G31" s="13"/>
      <c r="I31" s="125">
        <v>43281.625</v>
      </c>
      <c r="J31" s="209"/>
      <c r="K31" s="127"/>
      <c r="L31" s="127"/>
      <c r="N31" s="127"/>
    </row>
    <row r="32" spans="2:14" ht="18" customHeight="1">
      <c r="B32" s="231" t="s">
        <v>201</v>
      </c>
      <c r="C32" s="232"/>
      <c r="D32" s="232"/>
      <c r="E32" s="232"/>
      <c r="F32" s="232"/>
      <c r="G32" s="233"/>
      <c r="I32" s="128" t="s">
        <v>88</v>
      </c>
      <c r="J32" s="210"/>
      <c r="K32" s="127"/>
      <c r="L32" s="147" t="s">
        <v>188</v>
      </c>
      <c r="N32" s="127"/>
    </row>
    <row r="33" spans="2:33" ht="18" customHeight="1">
      <c r="B33" s="180">
        <f>+'Group Stage Predictions'!B31</f>
        <v>46185.791666666657</v>
      </c>
      <c r="C33" s="181" t="str">
        <f>+'Group Stage Predictions'!C31</f>
        <v>Los Angeles</v>
      </c>
      <c r="D33" s="17" t="str">
        <f>+'Group Stage Predictions'!D31</f>
        <v>USA</v>
      </c>
      <c r="E33" s="185">
        <f>+'Group Stage Predictions'!E31</f>
        <v>1</v>
      </c>
      <c r="F33" s="83" t="str">
        <f>+'Group Stage Predictions'!F31</f>
        <v>Paraguay (PAR)</v>
      </c>
      <c r="G33" s="185">
        <f>+'Group Stage Predictions'!G31</f>
        <v>0</v>
      </c>
      <c r="I33" s="128"/>
      <c r="J33" s="209"/>
      <c r="K33" s="127"/>
      <c r="N33" s="127"/>
    </row>
    <row r="34" spans="2:33" ht="18" customHeight="1">
      <c r="B34" s="180">
        <f>+'Group Stage Predictions'!B32</f>
        <v>46186.916666666657</v>
      </c>
      <c r="C34" s="182" t="str">
        <f>+'Group Stage Predictions'!C32</f>
        <v>Vancouver</v>
      </c>
      <c r="D34" s="17" t="str">
        <f>+'Group Stage Predictions'!D32</f>
        <v>Australia (AUS)</v>
      </c>
      <c r="E34" s="188">
        <f>+'Group Stage Predictions'!E32</f>
        <v>0</v>
      </c>
      <c r="F34" s="72" t="str">
        <f>+'Group Stage Predictions'!F32</f>
        <v>Türkiye (TUR)</v>
      </c>
      <c r="G34" s="188">
        <f>+'Group Stage Predictions'!G32</f>
        <v>1</v>
      </c>
      <c r="I34" s="128"/>
      <c r="J34" s="213" t="str">
        <f>+IF(ISBLANK('Group Stage Predictions'!E63)," ",'Group Stage Predictions'!AQ121)</f>
        <v>SWE</v>
      </c>
      <c r="K34" s="130" t="s">
        <v>260</v>
      </c>
      <c r="N34" s="127"/>
    </row>
    <row r="35" spans="2:33" ht="18" customHeight="1">
      <c r="B35" s="180">
        <f>+'Group Stage Predictions'!B33</f>
        <v>46192.541666666657</v>
      </c>
      <c r="C35" s="182" t="str">
        <f>+'Group Stage Predictions'!C33</f>
        <v>Seattle</v>
      </c>
      <c r="D35" s="17" t="str">
        <f>+'Group Stage Predictions'!D33</f>
        <v>USA</v>
      </c>
      <c r="E35" s="189">
        <f>+'Group Stage Predictions'!E33</f>
        <v>1</v>
      </c>
      <c r="F35" s="72" t="str">
        <f>+'Group Stage Predictions'!F33</f>
        <v>Australia (AUS)</v>
      </c>
      <c r="G35" s="189">
        <f>+'Group Stage Predictions'!G33</f>
        <v>0</v>
      </c>
      <c r="I35" s="120"/>
      <c r="J35" s="209"/>
      <c r="N35" s="127"/>
    </row>
    <row r="36" spans="2:33" ht="18" customHeight="1">
      <c r="B36" s="180">
        <f>+'Group Stage Predictions'!B34</f>
        <v>46192.875</v>
      </c>
      <c r="C36" s="182" t="str">
        <f>+'Group Stage Predictions'!C34</f>
        <v>San Francisco</v>
      </c>
      <c r="D36" s="17" t="str">
        <f>+'Group Stage Predictions'!D34</f>
        <v>Türkiye (TUR)</v>
      </c>
      <c r="E36" s="185">
        <f>+'Group Stage Predictions'!E34</f>
        <v>0</v>
      </c>
      <c r="F36" s="84" t="str">
        <f>+'Group Stage Predictions'!F34</f>
        <v>Paraguay (PAR)</v>
      </c>
      <c r="G36" s="185">
        <f>+'Group Stage Predictions'!G34</f>
        <v>0</v>
      </c>
      <c r="H36" s="3"/>
      <c r="I36" s="120"/>
      <c r="J36" s="209"/>
      <c r="L36" s="1"/>
      <c r="M36" s="1"/>
      <c r="N36" s="222">
        <v>45852.541666666657</v>
      </c>
      <c r="O36" s="146" t="s">
        <v>188</v>
      </c>
    </row>
    <row r="37" spans="2:33" ht="18" customHeight="1">
      <c r="B37" s="180">
        <f>+'Group Stage Predictions'!B35</f>
        <v>46198.833333333343</v>
      </c>
      <c r="C37" s="182" t="str">
        <f>+'Group Stage Predictions'!C35</f>
        <v>Los Angeles</v>
      </c>
      <c r="D37" s="17" t="str">
        <f>+'Group Stage Predictions'!D35</f>
        <v>Türkiye (TUR)</v>
      </c>
      <c r="E37" s="186">
        <f>+'Group Stage Predictions'!E35</f>
        <v>0</v>
      </c>
      <c r="F37" s="72" t="str">
        <f>+'Group Stage Predictions'!F35</f>
        <v>USA</v>
      </c>
      <c r="G37" s="186">
        <f>+'Group Stage Predictions'!G35</f>
        <v>1</v>
      </c>
      <c r="H37" s="3"/>
      <c r="I37" s="128"/>
      <c r="J37" s="212" t="str">
        <f>+IF(ISBLANK('Group Stage Predictions'!E31)," ",+'Group Stage Predictions'!K32)</f>
        <v>USA</v>
      </c>
      <c r="K37" s="121" t="s">
        <v>127</v>
      </c>
      <c r="N37" s="223" t="s">
        <v>97</v>
      </c>
      <c r="O37" s="137"/>
    </row>
    <row r="38" spans="2:33" ht="18" customHeight="1">
      <c r="B38" s="183">
        <f>+'Group Stage Predictions'!B36</f>
        <v>46198.833333333343</v>
      </c>
      <c r="C38" s="184" t="str">
        <f>+'Group Stage Predictions'!C36</f>
        <v>San Francisco</v>
      </c>
      <c r="D38" s="68" t="str">
        <f>+'Group Stage Predictions'!D36</f>
        <v>Paraguay (PAR)</v>
      </c>
      <c r="E38" s="186">
        <f>+'Group Stage Predictions'!E36</f>
        <v>0</v>
      </c>
      <c r="F38" s="78" t="str">
        <f>+'Group Stage Predictions'!F36</f>
        <v>Australia (AUS)</v>
      </c>
      <c r="G38" s="186">
        <f>+'Group Stage Predictions'!G36</f>
        <v>0</v>
      </c>
      <c r="I38" s="125">
        <v>45839.75</v>
      </c>
      <c r="J38" s="209"/>
      <c r="K38" s="127"/>
      <c r="N38" s="133"/>
      <c r="O38" s="134"/>
    </row>
    <row r="39" spans="2:33" ht="18" customHeight="1">
      <c r="B39" s="11"/>
      <c r="C39" s="12"/>
      <c r="D39" s="8"/>
      <c r="E39" s="13"/>
      <c r="F39" s="14"/>
      <c r="G39" s="13"/>
      <c r="I39" s="128" t="s">
        <v>83</v>
      </c>
      <c r="J39" s="210"/>
      <c r="K39" s="127"/>
      <c r="L39" s="146" t="s">
        <v>203</v>
      </c>
      <c r="N39" s="127"/>
      <c r="O39" s="134"/>
    </row>
    <row r="40" spans="2:33" ht="18" customHeight="1">
      <c r="B40" s="231" t="s">
        <v>218</v>
      </c>
      <c r="C40" s="232"/>
      <c r="D40" s="232"/>
      <c r="E40" s="232"/>
      <c r="F40" s="232"/>
      <c r="G40" s="233"/>
      <c r="I40" s="128"/>
      <c r="J40" s="209"/>
      <c r="K40" s="127"/>
      <c r="L40" s="127"/>
      <c r="N40" s="127"/>
      <c r="O40" s="134"/>
    </row>
    <row r="41" spans="2:33" ht="18" customHeight="1">
      <c r="B41" s="180">
        <f>+'Group Stage Predictions'!B39</f>
        <v>46187.458333333343</v>
      </c>
      <c r="C41" s="181" t="str">
        <f>+'Group Stage Predictions'!C39</f>
        <v>Houston</v>
      </c>
      <c r="D41" s="17" t="str">
        <f>+'Group Stage Predictions'!D39</f>
        <v>Germany (GER)</v>
      </c>
      <c r="E41" s="185">
        <f>+'Group Stage Predictions'!E39</f>
        <v>5</v>
      </c>
      <c r="F41" s="83" t="str">
        <f>+'Group Stage Predictions'!F39</f>
        <v>Curaçao (CUW)</v>
      </c>
      <c r="G41" s="185">
        <f>+'Group Stage Predictions'!G39</f>
        <v>0</v>
      </c>
      <c r="I41" s="128"/>
      <c r="J41" s="212" t="str">
        <f>+IF(ISBLANK('Group Stage Predictions'!E7)," ",'Group Stage Predictions'!AN121)</f>
        <v>BIH</v>
      </c>
      <c r="K41" s="130" t="s">
        <v>261</v>
      </c>
      <c r="L41" s="127"/>
      <c r="N41" s="127"/>
      <c r="O41" s="134"/>
    </row>
    <row r="42" spans="2:33" ht="18" customHeight="1">
      <c r="B42" s="180">
        <f>+'Group Stage Predictions'!B40</f>
        <v>46187.791666666657</v>
      </c>
      <c r="C42" s="182" t="str">
        <f>+'Group Stage Predictions'!C40</f>
        <v>Philadelphia</v>
      </c>
      <c r="D42" s="17" t="str">
        <f>+'Group Stage Predictions'!D40</f>
        <v>Côte d'Ivoire (CIV)</v>
      </c>
      <c r="E42" s="188">
        <f>+'Group Stage Predictions'!E40</f>
        <v>0</v>
      </c>
      <c r="F42" s="72" t="str">
        <f>+'Group Stage Predictions'!F40</f>
        <v>Ecuador (ECU)</v>
      </c>
      <c r="G42" s="188">
        <f>+'Group Stage Predictions'!G40</f>
        <v>1</v>
      </c>
      <c r="I42" s="128"/>
      <c r="J42" s="138"/>
      <c r="K42" s="132"/>
      <c r="L42" s="222">
        <v>43287.75</v>
      </c>
      <c r="N42" s="127"/>
      <c r="O42" s="134"/>
    </row>
    <row r="43" spans="2:33" ht="18" customHeight="1">
      <c r="B43" s="180">
        <f>+'Group Stage Predictions'!B41</f>
        <v>46193.583333333343</v>
      </c>
      <c r="C43" s="182" t="str">
        <f>+'Group Stage Predictions'!C41</f>
        <v>Toronto</v>
      </c>
      <c r="D43" s="17" t="str">
        <f>+'Group Stage Predictions'!D41</f>
        <v>Germany (GER)</v>
      </c>
      <c r="E43" s="189">
        <f>+'Group Stage Predictions'!E41</f>
        <v>2</v>
      </c>
      <c r="F43" s="72" t="str">
        <f>+'Group Stage Predictions'!F41</f>
        <v>Côte d'Ivoire (CIV)</v>
      </c>
      <c r="G43" s="189">
        <f>+'Group Stage Predictions'!G41</f>
        <v>0</v>
      </c>
      <c r="I43" s="128"/>
      <c r="J43" s="209"/>
      <c r="L43" s="225" t="s">
        <v>86</v>
      </c>
      <c r="M43" s="146" t="s">
        <v>203</v>
      </c>
      <c r="N43" s="127"/>
      <c r="O43" s="134"/>
    </row>
    <row r="44" spans="2:33" ht="18" customHeight="1">
      <c r="B44" s="180">
        <f>+'Group Stage Predictions'!B42</f>
        <v>46193.75</v>
      </c>
      <c r="C44" s="182" t="str">
        <f>+'Group Stage Predictions'!C42</f>
        <v>Kansas City</v>
      </c>
      <c r="D44" s="17" t="str">
        <f>+'Group Stage Predictions'!D42</f>
        <v>Ecuador (ECU)</v>
      </c>
      <c r="E44" s="185">
        <f>+'Group Stage Predictions'!E42</f>
        <v>3</v>
      </c>
      <c r="F44" s="84" t="str">
        <f>+'Group Stage Predictions'!F42</f>
        <v>Curaçao (CUW)</v>
      </c>
      <c r="G44" s="185">
        <f>+'Group Stage Predictions'!G42</f>
        <v>0</v>
      </c>
      <c r="I44" s="128"/>
      <c r="J44" s="212" t="str">
        <f>+IF(ISBLANK('Group Stage Predictions'!E55)," ",'Group Stage Predictions'!K56)</f>
        <v>BEL</v>
      </c>
      <c r="K44" s="121" t="s">
        <v>129</v>
      </c>
      <c r="L44" s="133"/>
      <c r="M44" s="127"/>
      <c r="N44" s="127"/>
      <c r="O44" s="134"/>
    </row>
    <row r="45" spans="2:33" ht="18" customHeight="1">
      <c r="B45" s="180">
        <f>+'Group Stage Predictions'!B43</f>
        <v>46198.583333333343</v>
      </c>
      <c r="C45" s="182" t="str">
        <f>+'Group Stage Predictions'!C43</f>
        <v>New Jersey</v>
      </c>
      <c r="D45" s="17" t="str">
        <f>+'Group Stage Predictions'!D43</f>
        <v>Ecuador (ECU)</v>
      </c>
      <c r="E45" s="186">
        <f>+'Group Stage Predictions'!E43</f>
        <v>0</v>
      </c>
      <c r="F45" s="72" t="str">
        <f>+'Group Stage Predictions'!F43</f>
        <v>Germany (GER)</v>
      </c>
      <c r="G45" s="186">
        <f>+'Group Stage Predictions'!G43</f>
        <v>1</v>
      </c>
      <c r="I45" s="125">
        <v>45839.583333333343</v>
      </c>
      <c r="J45" s="209"/>
      <c r="K45" s="127"/>
      <c r="L45" s="127"/>
      <c r="M45" s="127"/>
      <c r="N45" s="127"/>
      <c r="O45" s="134"/>
      <c r="AD45" s="3"/>
      <c r="AF45" s="3"/>
      <c r="AG45" s="3"/>
    </row>
    <row r="46" spans="2:33" ht="18" customHeight="1">
      <c r="B46" s="183">
        <f>+'Group Stage Predictions'!B44</f>
        <v>46198.583333333343</v>
      </c>
      <c r="C46" s="184" t="str">
        <f>+'Group Stage Predictions'!C44</f>
        <v>Philadelphia</v>
      </c>
      <c r="D46" s="68" t="str">
        <f>+'Group Stage Predictions'!D44</f>
        <v>Curaçao (CUW)</v>
      </c>
      <c r="E46" s="186">
        <f>+'Group Stage Predictions'!E44</f>
        <v>0</v>
      </c>
      <c r="F46" s="78" t="str">
        <f>+'Group Stage Predictions'!F44</f>
        <v>Côte d'Ivoire (CIV)</v>
      </c>
      <c r="G46" s="186">
        <f>+'Group Stage Predictions'!G44</f>
        <v>3</v>
      </c>
      <c r="I46" s="128" t="s">
        <v>86</v>
      </c>
      <c r="J46" s="210"/>
      <c r="K46" s="127"/>
      <c r="L46" s="147" t="s">
        <v>146</v>
      </c>
      <c r="M46" s="127"/>
      <c r="N46" s="127"/>
      <c r="O46" s="134"/>
      <c r="AD46" s="3"/>
      <c r="AF46" s="3"/>
      <c r="AG46" s="3"/>
    </row>
    <row r="47" spans="2:33" ht="18" customHeight="1">
      <c r="B47" s="16"/>
      <c r="C47" s="23"/>
      <c r="D47" s="8"/>
      <c r="E47" s="13"/>
      <c r="F47" s="14"/>
      <c r="G47" s="13"/>
      <c r="I47" s="128"/>
      <c r="J47" s="209"/>
      <c r="K47" s="127"/>
      <c r="M47" s="127"/>
      <c r="N47" s="127"/>
      <c r="O47" s="134"/>
      <c r="AD47" s="3"/>
      <c r="AF47" s="3"/>
      <c r="AG47" s="3"/>
    </row>
    <row r="48" spans="2:33" ht="18" customHeight="1">
      <c r="B48" s="231" t="s">
        <v>236</v>
      </c>
      <c r="C48" s="232"/>
      <c r="D48" s="232"/>
      <c r="E48" s="232"/>
      <c r="F48" s="232"/>
      <c r="G48" s="233"/>
      <c r="I48" s="128"/>
      <c r="J48" s="212" t="str">
        <f>+IF(ISBLANK('Group Stage Predictions'!E23)," ",'Group Stage Predictions'!AP121)</f>
        <v>SEN</v>
      </c>
      <c r="K48" s="130" t="s">
        <v>262</v>
      </c>
      <c r="M48" s="127"/>
      <c r="N48" s="127"/>
      <c r="O48" s="134"/>
      <c r="X48" s="3"/>
      <c r="Y48" s="3"/>
      <c r="AA48" s="3"/>
      <c r="AB48" s="3"/>
      <c r="AC48" s="3"/>
      <c r="AD48" s="3"/>
      <c r="AF48" s="3"/>
      <c r="AG48" s="3"/>
    </row>
    <row r="49" spans="2:34" ht="18" customHeight="1">
      <c r="B49" s="180">
        <f>+'Group Stage Predictions'!B47</f>
        <v>46187.583333333343</v>
      </c>
      <c r="C49" s="181" t="str">
        <f>+'Group Stage Predictions'!C47</f>
        <v>Dallas</v>
      </c>
      <c r="D49" s="8" t="str">
        <f>+'Group Stage Predictions'!D47</f>
        <v>Netherlands (NED)</v>
      </c>
      <c r="E49" s="185">
        <f>+'Group Stage Predictions'!E47</f>
        <v>1</v>
      </c>
      <c r="F49" s="72" t="str">
        <f>+'Group Stage Predictions'!F47</f>
        <v>Japan (JPN)</v>
      </c>
      <c r="G49" s="185">
        <f>+'Group Stage Predictions'!G47</f>
        <v>1</v>
      </c>
      <c r="I49" s="128"/>
      <c r="J49" s="209"/>
      <c r="M49" s="127"/>
      <c r="N49" s="127"/>
      <c r="O49" s="134"/>
      <c r="X49" s="3"/>
      <c r="Y49" s="3"/>
      <c r="AA49" s="3"/>
      <c r="AB49" s="3"/>
      <c r="AC49" s="3"/>
      <c r="AD49" s="3"/>
      <c r="AE49" s="3"/>
      <c r="AF49" s="3"/>
      <c r="AG49" s="3"/>
    </row>
    <row r="50" spans="2:34" ht="18" customHeight="1">
      <c r="B50" s="180">
        <f>+'Group Stage Predictions'!B48</f>
        <v>46187.833333333343</v>
      </c>
      <c r="C50" s="182" t="str">
        <f>+'Group Stage Predictions'!C48</f>
        <v>Monterrey</v>
      </c>
      <c r="D50" s="17" t="str">
        <f>+'Group Stage Predictions'!D48</f>
        <v>Sweden (SWE)</v>
      </c>
      <c r="E50" s="188">
        <f>+'Group Stage Predictions'!E48</f>
        <v>1</v>
      </c>
      <c r="F50" s="72" t="str">
        <f>+'Group Stage Predictions'!F48</f>
        <v>Tunisia (TUN)</v>
      </c>
      <c r="G50" s="188">
        <f>+'Group Stage Predictions'!G48</f>
        <v>0</v>
      </c>
      <c r="I50" s="128"/>
      <c r="J50" s="209"/>
      <c r="L50" s="1"/>
      <c r="M50" s="222">
        <v>43291.541666666657</v>
      </c>
      <c r="N50" s="127"/>
      <c r="O50" s="134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2:34" ht="18" customHeight="1">
      <c r="B51" s="180">
        <f>+'Group Stage Predictions'!B49</f>
        <v>46193.458333333343</v>
      </c>
      <c r="C51" s="182" t="str">
        <f>+'Group Stage Predictions'!C49</f>
        <v>Houston</v>
      </c>
      <c r="D51" s="17" t="str">
        <f>+'Group Stage Predictions'!D49</f>
        <v>Netherlands (NED)</v>
      </c>
      <c r="E51" s="189">
        <f>+'Group Stage Predictions'!E49</f>
        <v>1</v>
      </c>
      <c r="F51" s="72" t="str">
        <f>+'Group Stage Predictions'!F49</f>
        <v>Sweden (SWE)</v>
      </c>
      <c r="G51" s="189">
        <f>+'Group Stage Predictions'!G49</f>
        <v>0</v>
      </c>
      <c r="I51" s="128"/>
      <c r="J51" s="212" t="str">
        <f>+IF(ISBLANK('Group Stage Predictions'!E63)," ",+'Group Stage Predictions'!K64)</f>
        <v>ESP</v>
      </c>
      <c r="K51" s="121" t="s">
        <v>263</v>
      </c>
      <c r="M51" s="223" t="s">
        <v>85</v>
      </c>
      <c r="N51" s="147" t="s">
        <v>169</v>
      </c>
      <c r="O51" s="134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2:34" ht="18" customHeight="1">
      <c r="B52" s="180">
        <f>+'Group Stage Predictions'!B50</f>
        <v>46193.916666666657</v>
      </c>
      <c r="C52" s="182" t="str">
        <f>+'Group Stage Predictions'!C50</f>
        <v>Monterrey</v>
      </c>
      <c r="D52" s="17" t="str">
        <f>+'Group Stage Predictions'!D50</f>
        <v>Tunisia (TUN)</v>
      </c>
      <c r="E52" s="185">
        <f>+'Group Stage Predictions'!E50</f>
        <v>0</v>
      </c>
      <c r="F52" s="72" t="str">
        <f>+'Group Stage Predictions'!F50</f>
        <v>Japan (JPN)</v>
      </c>
      <c r="G52" s="185">
        <f>+'Group Stage Predictions'!G50</f>
        <v>1</v>
      </c>
      <c r="I52" s="125">
        <v>46205.541666666657</v>
      </c>
      <c r="J52" s="209"/>
      <c r="K52" s="127"/>
      <c r="M52" s="133"/>
      <c r="O52" s="134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2:34" ht="18" customHeight="1">
      <c r="B53" s="180">
        <f>+'Group Stage Predictions'!B51</f>
        <v>46198.708333333343</v>
      </c>
      <c r="C53" s="182" t="str">
        <f>+'Group Stage Predictions'!C51</f>
        <v>Kansas City</v>
      </c>
      <c r="D53" s="17" t="str">
        <f>+'Group Stage Predictions'!D51</f>
        <v>Tunisia (TUN)</v>
      </c>
      <c r="E53" s="186">
        <f>+'Group Stage Predictions'!E51</f>
        <v>0</v>
      </c>
      <c r="F53" s="72" t="str">
        <f>+'Group Stage Predictions'!F51</f>
        <v>Netherlands (NED)</v>
      </c>
      <c r="G53" s="186">
        <f>+'Group Stage Predictions'!G51</f>
        <v>2</v>
      </c>
      <c r="I53" s="128" t="s">
        <v>85</v>
      </c>
      <c r="J53" s="210"/>
      <c r="K53" s="127"/>
      <c r="L53" s="146" t="s">
        <v>169</v>
      </c>
      <c r="M53" s="127"/>
      <c r="O53" s="134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2:34" ht="18" customHeight="1">
      <c r="B54" s="183">
        <f>+'Group Stage Predictions'!B52</f>
        <v>46198.708333333343</v>
      </c>
      <c r="C54" s="184" t="str">
        <f>+'Group Stage Predictions'!C52</f>
        <v>Dallas</v>
      </c>
      <c r="D54" s="85" t="str">
        <f>+'Group Stage Predictions'!D52</f>
        <v>Japan (JPN)</v>
      </c>
      <c r="E54" s="186">
        <f>+'Group Stage Predictions'!E52</f>
        <v>1</v>
      </c>
      <c r="F54" s="78" t="str">
        <f>+'Group Stage Predictions'!F52</f>
        <v>Sweden (SWE)</v>
      </c>
      <c r="G54" s="186">
        <f>+'Group Stage Predictions'!G52</f>
        <v>0</v>
      </c>
      <c r="I54" s="128"/>
      <c r="J54" s="209"/>
      <c r="K54" s="127"/>
      <c r="L54" s="127"/>
      <c r="M54" s="127"/>
      <c r="O54" s="134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2:34" ht="18" customHeight="1">
      <c r="B55" s="11"/>
      <c r="C55" s="12"/>
      <c r="D55" s="8"/>
      <c r="E55" s="13"/>
      <c r="F55" s="14"/>
      <c r="G55" s="13"/>
      <c r="I55" s="128"/>
      <c r="J55" s="212" t="str">
        <f>+IF(ISBLANK('Group Stage Predictions'!E39)," ",+'Group Stage Predictions'!K81)</f>
        <v>AUT</v>
      </c>
      <c r="K55" s="130" t="s">
        <v>264</v>
      </c>
      <c r="L55" s="127"/>
      <c r="M55" s="127"/>
      <c r="O55" s="134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2:34" ht="18" customHeight="1">
      <c r="B56" s="231" t="s">
        <v>142</v>
      </c>
      <c r="C56" s="232"/>
      <c r="D56" s="232"/>
      <c r="E56" s="232"/>
      <c r="F56" s="232"/>
      <c r="G56" s="233"/>
      <c r="I56" s="128"/>
      <c r="J56" s="209"/>
      <c r="K56" s="132"/>
      <c r="L56" s="222">
        <v>43287.541666666657</v>
      </c>
      <c r="M56" s="127"/>
      <c r="O56" s="134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2:34" ht="18" customHeight="1">
      <c r="B57" s="180">
        <f>+'Group Stage Predictions'!B55</f>
        <v>46188.541666666657</v>
      </c>
      <c r="C57" s="181" t="str">
        <f>+'Group Stage Predictions'!C55</f>
        <v>Seattle</v>
      </c>
      <c r="D57" s="17" t="str">
        <f>+'Group Stage Predictions'!D55</f>
        <v>Belgium (BEL)</v>
      </c>
      <c r="E57" s="185">
        <f>+'Group Stage Predictions'!E55</f>
        <v>1</v>
      </c>
      <c r="F57" s="83" t="str">
        <f>+'Group Stage Predictions'!F55</f>
        <v>Egypt (EGY)</v>
      </c>
      <c r="G57" s="185">
        <f>+'Group Stage Predictions'!G55</f>
        <v>0</v>
      </c>
      <c r="I57" s="128"/>
      <c r="J57" s="209"/>
      <c r="L57" s="223" t="s">
        <v>97</v>
      </c>
      <c r="M57" s="147" t="s">
        <v>169</v>
      </c>
      <c r="O57" s="134"/>
    </row>
    <row r="58" spans="2:34" ht="18" customHeight="1">
      <c r="B58" s="180">
        <f>+'Group Stage Predictions'!B56</f>
        <v>46188.791666666657</v>
      </c>
      <c r="C58" s="182" t="str">
        <f>+'Group Stage Predictions'!C56</f>
        <v>Los Angeles</v>
      </c>
      <c r="D58" s="17" t="str">
        <f>+'Group Stage Predictions'!D56</f>
        <v>Iran (IRN)</v>
      </c>
      <c r="E58" s="188">
        <f>+'Group Stage Predictions'!E56</f>
        <v>0</v>
      </c>
      <c r="F58" s="72" t="str">
        <f>+'Group Stage Predictions'!F56</f>
        <v>New Zealand (NZL)</v>
      </c>
      <c r="G58" s="188">
        <f>+'Group Stage Predictions'!G56</f>
        <v>0</v>
      </c>
      <c r="I58" s="128"/>
      <c r="J58" s="212" t="str">
        <f>+IF(ISBLANK('Group Stage Predictions'!E87)," ",'Group Stage Predictions'!K89)</f>
        <v>COL</v>
      </c>
      <c r="K58" s="121" t="s">
        <v>265</v>
      </c>
      <c r="L58" s="133"/>
      <c r="O58" s="134"/>
    </row>
    <row r="59" spans="2:34" ht="18" customHeight="1">
      <c r="B59" s="180">
        <f>+'Group Stage Predictions'!B57</f>
        <v>46194.541666666657</v>
      </c>
      <c r="C59" s="182" t="str">
        <f>+'Group Stage Predictions'!C57</f>
        <v>Los Angeles</v>
      </c>
      <c r="D59" s="17" t="str">
        <f>+'Group Stage Predictions'!D57</f>
        <v>Belgium (BEL)</v>
      </c>
      <c r="E59" s="189">
        <f>+'Group Stage Predictions'!E57</f>
        <v>1</v>
      </c>
      <c r="F59" s="72" t="str">
        <f>+'Group Stage Predictions'!F57</f>
        <v>Iran (IRN)</v>
      </c>
      <c r="G59" s="189">
        <f>+'Group Stage Predictions'!G57</f>
        <v>0</v>
      </c>
      <c r="I59" s="125">
        <v>43284.708333333343</v>
      </c>
      <c r="J59" s="209"/>
      <c r="K59" s="127"/>
      <c r="L59" s="127"/>
      <c r="O59" s="134"/>
    </row>
    <row r="60" spans="2:34" ht="18" customHeight="1">
      <c r="B60" s="180">
        <f>+'Group Stage Predictions'!B58</f>
        <v>46194.791666666657</v>
      </c>
      <c r="C60" s="182" t="str">
        <f>+'Group Stage Predictions'!C58</f>
        <v>Vancouver</v>
      </c>
      <c r="D60" s="17" t="str">
        <f>+'Group Stage Predictions'!D58</f>
        <v>New Zealand (NZL)</v>
      </c>
      <c r="E60" s="185">
        <f>+'Group Stage Predictions'!E58</f>
        <v>0</v>
      </c>
      <c r="F60" s="84" t="str">
        <f>+'Group Stage Predictions'!F58</f>
        <v>Egypt (EGY)</v>
      </c>
      <c r="G60" s="185">
        <f>+'Group Stage Predictions'!G58</f>
        <v>1</v>
      </c>
      <c r="I60" s="128" t="s">
        <v>82</v>
      </c>
      <c r="J60" s="210"/>
      <c r="K60" s="127"/>
      <c r="L60" s="147" t="s">
        <v>245</v>
      </c>
      <c r="O60" s="134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2:34" ht="18" customHeight="1">
      <c r="B61" s="180">
        <f>+'Group Stage Predictions'!B59</f>
        <v>46199.875</v>
      </c>
      <c r="C61" s="182" t="str">
        <f>+'Group Stage Predictions'!C59</f>
        <v>Vancouver</v>
      </c>
      <c r="D61" s="17" t="str">
        <f>+'Group Stage Predictions'!D59</f>
        <v>New Zealand (NZL)</v>
      </c>
      <c r="E61" s="186">
        <f>+'Group Stage Predictions'!E59</f>
        <v>0</v>
      </c>
      <c r="F61" s="72" t="str">
        <f>+'Group Stage Predictions'!F59</f>
        <v>Belgium (BEL)</v>
      </c>
      <c r="G61" s="186">
        <f>+'Group Stage Predictions'!G59</f>
        <v>2</v>
      </c>
      <c r="I61" s="128"/>
      <c r="J61" s="209"/>
      <c r="K61" s="127"/>
      <c r="O61" s="134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2:34" ht="18" customHeight="1">
      <c r="B62" s="183">
        <f>+'Group Stage Predictions'!B60</f>
        <v>46199.875</v>
      </c>
      <c r="C62" s="184" t="str">
        <f>+'Group Stage Predictions'!C60</f>
        <v>Seattle</v>
      </c>
      <c r="D62" s="68" t="str">
        <f>+'Group Stage Predictions'!D60</f>
        <v>Egypt (EGY)</v>
      </c>
      <c r="E62" s="186">
        <f>+'Group Stage Predictions'!E60</f>
        <v>1</v>
      </c>
      <c r="F62" s="78" t="str">
        <f>+'Group Stage Predictions'!F60</f>
        <v>Iran (IRN)</v>
      </c>
      <c r="G62" s="186">
        <f>+'Group Stage Predictions'!G60</f>
        <v>0</v>
      </c>
      <c r="I62" s="128"/>
      <c r="J62" s="212" t="str">
        <f>+IF(ISBLANK('Group Stage Predictions'!E95)," ",'Group Stage Predictions'!K97)</f>
        <v>CRO</v>
      </c>
      <c r="K62" s="130" t="s">
        <v>266</v>
      </c>
      <c r="O62" s="134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2:34" ht="18" customHeight="1">
      <c r="B63" s="11"/>
      <c r="C63" s="12"/>
      <c r="D63" s="8"/>
      <c r="E63" s="13"/>
      <c r="F63" s="14"/>
      <c r="G63" s="13"/>
      <c r="I63" s="120"/>
      <c r="J63" s="208"/>
      <c r="M63" s="1"/>
      <c r="O63" s="222">
        <v>45857.541666666657</v>
      </c>
      <c r="P63" s="149" t="s">
        <v>188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2:34" ht="18" customHeight="1">
      <c r="B64" s="231" t="s">
        <v>164</v>
      </c>
      <c r="C64" s="232"/>
      <c r="D64" s="232"/>
      <c r="E64" s="232"/>
      <c r="F64" s="232"/>
      <c r="G64" s="233"/>
      <c r="I64" s="120"/>
      <c r="J64" s="208"/>
      <c r="O64" s="223" t="s">
        <v>88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2:34" ht="18" customHeight="1">
      <c r="B65" s="180">
        <f>+'Group Stage Predictions'!B63</f>
        <v>46188.416666666657</v>
      </c>
      <c r="C65" s="181" t="str">
        <f>+'Group Stage Predictions'!C63</f>
        <v>Atlanta</v>
      </c>
      <c r="D65" s="17" t="str">
        <f>+'Group Stage Predictions'!D63</f>
        <v>Spain (ESP)</v>
      </c>
      <c r="E65" s="185">
        <f>+'Group Stage Predictions'!E63</f>
        <v>5</v>
      </c>
      <c r="F65" s="83" t="str">
        <f>+'Group Stage Predictions'!F63</f>
        <v>Cape Verde (CPV)</v>
      </c>
      <c r="G65" s="185">
        <f>+'Group Stage Predictions'!G63</f>
        <v>0</v>
      </c>
      <c r="I65" s="120"/>
      <c r="J65" s="212" t="str">
        <f>+IF(ISBLANK('Group Stage Predictions'!E23)," ",'Group Stage Predictions'!K24)</f>
        <v>BRA</v>
      </c>
      <c r="K65" s="121" t="s">
        <v>267</v>
      </c>
      <c r="O65" s="134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2:34" ht="18" customHeight="1">
      <c r="B66" s="180">
        <f>+'Group Stage Predictions'!B64</f>
        <v>46188.666666666657</v>
      </c>
      <c r="C66" s="182" t="str">
        <f>+'Group Stage Predictions'!C64</f>
        <v>Miami</v>
      </c>
      <c r="D66" s="17" t="str">
        <f>+'Group Stage Predictions'!D64</f>
        <v>Saudi Arabia (KSA)</v>
      </c>
      <c r="E66" s="188">
        <f>+'Group Stage Predictions'!E64</f>
        <v>0</v>
      </c>
      <c r="F66" s="72" t="str">
        <f>+'Group Stage Predictions'!F64</f>
        <v>Uruguay (URU)</v>
      </c>
      <c r="G66" s="188">
        <f>+'Group Stage Predictions'!G64</f>
        <v>1</v>
      </c>
      <c r="I66" s="125">
        <v>46202.458333333343</v>
      </c>
      <c r="J66" s="209"/>
      <c r="K66" s="127"/>
      <c r="O66" s="134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2:34" ht="18" customHeight="1">
      <c r="B67" s="180">
        <f>+'Group Stage Predictions'!B65</f>
        <v>46194.416666666657</v>
      </c>
      <c r="C67" s="182" t="str">
        <f>+'Group Stage Predictions'!C65</f>
        <v>Atlanta</v>
      </c>
      <c r="D67" s="17" t="str">
        <f>+'Group Stage Predictions'!D65</f>
        <v>Spain (ESP)</v>
      </c>
      <c r="E67" s="189">
        <f>+'Group Stage Predictions'!E65</f>
        <v>4</v>
      </c>
      <c r="F67" s="72" t="str">
        <f>+'Group Stage Predictions'!F65</f>
        <v>Saudi Arabia (KSA)</v>
      </c>
      <c r="G67" s="189">
        <f>+'Group Stage Predictions'!G65</f>
        <v>0</v>
      </c>
      <c r="I67" s="128" t="s">
        <v>94</v>
      </c>
      <c r="J67" s="210"/>
      <c r="K67" s="127"/>
      <c r="L67" s="146" t="s">
        <v>185</v>
      </c>
      <c r="O67" s="134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ht="18" customHeight="1">
      <c r="B68" s="180">
        <f>+'Group Stage Predictions'!B66</f>
        <v>46194.666666666657</v>
      </c>
      <c r="C68" s="182" t="str">
        <f>+'Group Stage Predictions'!C66</f>
        <v>Miami</v>
      </c>
      <c r="D68" s="17" t="str">
        <f>+'Group Stage Predictions'!D66</f>
        <v>Uruguay (URU)</v>
      </c>
      <c r="E68" s="185">
        <f>+'Group Stage Predictions'!E66</f>
        <v>2</v>
      </c>
      <c r="F68" s="84" t="str">
        <f>+'Group Stage Predictions'!F66</f>
        <v>Cape Verde (CPV)</v>
      </c>
      <c r="G68" s="185">
        <f>+'Group Stage Predictions'!G66</f>
        <v>0</v>
      </c>
      <c r="I68" s="128"/>
      <c r="J68" s="209"/>
      <c r="K68" s="127"/>
      <c r="L68" s="127"/>
      <c r="O68" s="134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2:34" ht="18" customHeight="1">
      <c r="B69" s="180">
        <f>+'Group Stage Predictions'!B67</f>
        <v>46199.75</v>
      </c>
      <c r="C69" s="182" t="str">
        <f>+'Group Stage Predictions'!C67</f>
        <v>Guadalajara</v>
      </c>
      <c r="D69" s="17" t="str">
        <f>+'Group Stage Predictions'!D67</f>
        <v>Uruguay (URU)</v>
      </c>
      <c r="E69" s="186">
        <f>+'Group Stage Predictions'!E67</f>
        <v>0</v>
      </c>
      <c r="F69" s="72" t="str">
        <f>+'Group Stage Predictions'!F67</f>
        <v>Spain (ESP)</v>
      </c>
      <c r="G69" s="186">
        <f>+'Group Stage Predictions'!G67</f>
        <v>1</v>
      </c>
      <c r="I69" s="120"/>
      <c r="J69" s="212" t="str">
        <f>+IF(ISBLANK('Group Stage Predictions'!E47)," ",+'Group Stage Predictions'!K49)</f>
        <v>JPN</v>
      </c>
      <c r="K69" s="130" t="s">
        <v>268</v>
      </c>
      <c r="L69" s="221"/>
      <c r="O69" s="134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2:34" ht="18" customHeight="1">
      <c r="B70" s="183">
        <f>+'Group Stage Predictions'!B68</f>
        <v>46199.75</v>
      </c>
      <c r="C70" s="184" t="str">
        <f>+'Group Stage Predictions'!C68</f>
        <v>Houston</v>
      </c>
      <c r="D70" s="68" t="str">
        <f>+'Group Stage Predictions'!D68</f>
        <v>Cape Verde (CPV)</v>
      </c>
      <c r="E70" s="186">
        <f>+'Group Stage Predictions'!E68</f>
        <v>0</v>
      </c>
      <c r="F70" s="78" t="str">
        <f>+'Group Stage Predictions'!F68</f>
        <v>Saudi Arabia (KSA)</v>
      </c>
      <c r="G70" s="186">
        <f>+'Group Stage Predictions'!G68</f>
        <v>0</v>
      </c>
      <c r="I70" s="120"/>
      <c r="J70" s="209"/>
      <c r="K70" s="132"/>
      <c r="L70" s="222">
        <v>43286.583333333343</v>
      </c>
      <c r="O70" s="134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2:34" ht="18" customHeight="1">
      <c r="B71" s="11"/>
      <c r="C71" s="12"/>
      <c r="D71" s="8"/>
      <c r="E71" s="13"/>
      <c r="F71" s="14"/>
      <c r="G71" s="13"/>
      <c r="I71" s="120"/>
      <c r="J71" s="209"/>
      <c r="L71" s="223" t="s">
        <v>88</v>
      </c>
      <c r="M71" s="146" t="s">
        <v>185</v>
      </c>
      <c r="O71" s="134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2:34" ht="18" customHeight="1">
      <c r="B72" s="231" t="s">
        <v>184</v>
      </c>
      <c r="C72" s="232"/>
      <c r="D72" s="232"/>
      <c r="E72" s="232"/>
      <c r="F72" s="232"/>
      <c r="G72" s="233"/>
      <c r="I72" s="120"/>
      <c r="J72" s="212" t="str">
        <f>+IF(ISBLANK('Group Stage Predictions'!E39)," ",'Group Stage Predictions'!K41)</f>
        <v>ECU</v>
      </c>
      <c r="K72" s="121" t="s">
        <v>269</v>
      </c>
      <c r="L72" s="133"/>
      <c r="M72" s="127"/>
      <c r="O72" s="134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2:34" ht="18" customHeight="1">
      <c r="B73" s="180">
        <f>+'Group Stage Predictions'!B71</f>
        <v>46189.541666666657</v>
      </c>
      <c r="C73" s="181" t="str">
        <f>+'Group Stage Predictions'!C71</f>
        <v>New Jersey</v>
      </c>
      <c r="D73" s="17" t="str">
        <f>+'Group Stage Predictions'!D71</f>
        <v>France (FRA)</v>
      </c>
      <c r="E73" s="185">
        <f>+'Group Stage Predictions'!E71</f>
        <v>2</v>
      </c>
      <c r="F73" s="83" t="str">
        <f>+'Group Stage Predictions'!F71</f>
        <v>Senegal (SEN)</v>
      </c>
      <c r="G73" s="185">
        <f>+'Group Stage Predictions'!G71</f>
        <v>0</v>
      </c>
      <c r="I73" s="125">
        <v>46203.458333333343</v>
      </c>
      <c r="J73" s="209"/>
      <c r="K73" s="127"/>
      <c r="L73" s="127"/>
      <c r="M73" s="127"/>
      <c r="O73" s="134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2:34" ht="18" customHeight="1">
      <c r="B74" s="180">
        <f>+'Group Stage Predictions'!B72</f>
        <v>46189.666666666657</v>
      </c>
      <c r="C74" s="182" t="str">
        <f>+'Group Stage Predictions'!C72</f>
        <v>Boston</v>
      </c>
      <c r="D74" s="17" t="str">
        <f>+'Group Stage Predictions'!D72</f>
        <v>Iraq (IRQ)</v>
      </c>
      <c r="E74" s="188">
        <f>+'Group Stage Predictions'!E72</f>
        <v>0</v>
      </c>
      <c r="F74" s="72" t="str">
        <f>+'Group Stage Predictions'!F72</f>
        <v>Norway (NOR)</v>
      </c>
      <c r="G74" s="188">
        <f>+'Group Stage Predictions'!G72</f>
        <v>1</v>
      </c>
      <c r="I74" s="120" t="s">
        <v>97</v>
      </c>
      <c r="J74" s="210"/>
      <c r="K74" s="127"/>
      <c r="L74" s="147" t="s">
        <v>232</v>
      </c>
      <c r="M74" s="127"/>
      <c r="O74" s="134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2:34" ht="18" customHeight="1">
      <c r="B75" s="180">
        <f>+'Group Stage Predictions'!B73</f>
        <v>46195.625</v>
      </c>
      <c r="C75" s="182" t="str">
        <f>+'Group Stage Predictions'!C73</f>
        <v>Philadelphia</v>
      </c>
      <c r="D75" s="17" t="str">
        <f>+'Group Stage Predictions'!D73</f>
        <v>France (FRA)</v>
      </c>
      <c r="E75" s="189">
        <f>+'Group Stage Predictions'!E73</f>
        <v>3</v>
      </c>
      <c r="F75" s="72" t="str">
        <f>+'Group Stage Predictions'!F73</f>
        <v>Iraq (IRQ)</v>
      </c>
      <c r="G75" s="189">
        <f>+'Group Stage Predictions'!G73</f>
        <v>0</v>
      </c>
      <c r="I75" s="120"/>
      <c r="J75" s="209"/>
      <c r="K75" s="127"/>
      <c r="M75" s="127"/>
      <c r="O75" s="134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2:34" ht="18" customHeight="1">
      <c r="B76" s="180">
        <f>+'Group Stage Predictions'!B74</f>
        <v>46195.75</v>
      </c>
      <c r="C76" s="182" t="str">
        <f>+'Group Stage Predictions'!C74</f>
        <v>New Jersey</v>
      </c>
      <c r="D76" s="17" t="str">
        <f>+'Group Stage Predictions'!D74</f>
        <v>Norway (NOR)</v>
      </c>
      <c r="E76" s="185">
        <f>+'Group Stage Predictions'!E74</f>
        <v>1</v>
      </c>
      <c r="F76" s="84" t="str">
        <f>+'Group Stage Predictions'!F74</f>
        <v>Senegal (SEN)</v>
      </c>
      <c r="G76" s="185">
        <f>+'Group Stage Predictions'!G74</f>
        <v>1</v>
      </c>
      <c r="I76" s="120"/>
      <c r="J76" s="212" t="str">
        <f>+IF(ISBLANK('Group Stage Predictions'!E71)," ",'Group Stage Predictions'!K73)</f>
        <v>NOR</v>
      </c>
      <c r="K76" s="130" t="s">
        <v>270</v>
      </c>
      <c r="M76" s="127"/>
      <c r="O76" s="134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2:34" ht="18" customHeight="1">
      <c r="B77" s="180">
        <f>+'Group Stage Predictions'!B75</f>
        <v>46199.541666666657</v>
      </c>
      <c r="C77" s="182" t="str">
        <f>+'Group Stage Predictions'!C75</f>
        <v>Boston</v>
      </c>
      <c r="D77" s="17" t="str">
        <f>+'Group Stage Predictions'!D75</f>
        <v>Norway (NOR)</v>
      </c>
      <c r="E77" s="186">
        <f>+'Group Stage Predictions'!E75</f>
        <v>1</v>
      </c>
      <c r="F77" s="72" t="str">
        <f>+'Group Stage Predictions'!F75</f>
        <v>France (FRA)</v>
      </c>
      <c r="G77" s="186">
        <f>+'Group Stage Predictions'!G75</f>
        <v>3</v>
      </c>
      <c r="I77" s="120"/>
      <c r="J77" s="209"/>
      <c r="M77" s="127"/>
      <c r="O77" s="134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2:34" ht="18" customHeight="1">
      <c r="B78" s="183">
        <f>+'Group Stage Predictions'!B76</f>
        <v>46199.541666666657</v>
      </c>
      <c r="C78" s="184" t="str">
        <f>+'Group Stage Predictions'!C76</f>
        <v>Toronto</v>
      </c>
      <c r="D78" s="68" t="str">
        <f>+'Group Stage Predictions'!D76</f>
        <v>Senegal (SEN)</v>
      </c>
      <c r="E78" s="186">
        <f>+'Group Stage Predictions'!E76</f>
        <v>1</v>
      </c>
      <c r="F78" s="78" t="str">
        <f>+'Group Stage Predictions'!F76</f>
        <v>Iraq (IRQ)</v>
      </c>
      <c r="G78" s="186">
        <f>+'Group Stage Predictions'!G76</f>
        <v>0</v>
      </c>
      <c r="I78" s="120"/>
      <c r="J78" s="209"/>
      <c r="L78" s="1"/>
      <c r="M78" s="222">
        <v>46214.625</v>
      </c>
      <c r="O78" s="134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2:34" ht="18" customHeight="1">
      <c r="B79" s="6"/>
      <c r="D79" s="3"/>
      <c r="E79" s="86"/>
      <c r="F79" s="3"/>
      <c r="G79" s="86"/>
      <c r="I79" s="120"/>
      <c r="J79" s="212" t="str">
        <f>+IF(ISBLANK('Group Stage Predictions'!E7)," ",'Group Stage Predictions'!K8)</f>
        <v>MEX</v>
      </c>
      <c r="K79" s="121" t="s">
        <v>125</v>
      </c>
      <c r="M79" s="226" t="s">
        <v>91</v>
      </c>
      <c r="N79" s="146" t="s">
        <v>241</v>
      </c>
      <c r="O79" s="134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2:34" ht="18" customHeight="1">
      <c r="B80" s="231" t="s">
        <v>202</v>
      </c>
      <c r="C80" s="232"/>
      <c r="D80" s="232"/>
      <c r="E80" s="232"/>
      <c r="F80" s="232"/>
      <c r="G80" s="233"/>
      <c r="I80" s="125">
        <v>46203.791666666657</v>
      </c>
      <c r="J80" s="209"/>
      <c r="K80" s="127"/>
      <c r="M80" s="133"/>
      <c r="N80" s="136"/>
      <c r="O80" s="134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2:34" ht="18" customHeight="1">
      <c r="B81" s="180">
        <f>+'Group Stage Predictions'!B79</f>
        <v>46189.791666666657</v>
      </c>
      <c r="C81" s="181" t="str">
        <f>+'Group Stage Predictions'!C79</f>
        <v>Kansas City</v>
      </c>
      <c r="D81" s="17" t="str">
        <f>+'Group Stage Predictions'!D79</f>
        <v>Argentina (ARG)</v>
      </c>
      <c r="E81" s="185">
        <f>+'Group Stage Predictions'!E79</f>
        <v>2</v>
      </c>
      <c r="F81" s="83" t="str">
        <f>+'Group Stage Predictions'!F79</f>
        <v>Algeria (ALG)</v>
      </c>
      <c r="G81" s="185">
        <f>+'Group Stage Predictions'!G79</f>
        <v>0</v>
      </c>
      <c r="I81" s="120" t="s">
        <v>41</v>
      </c>
      <c r="J81" s="210"/>
      <c r="K81" s="127"/>
      <c r="L81" s="146" t="s">
        <v>143</v>
      </c>
      <c r="M81" s="127"/>
      <c r="N81" s="127"/>
      <c r="O81" s="134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2:34" ht="18" customHeight="1">
      <c r="B82" s="180">
        <f>+'Group Stage Predictions'!B80</f>
        <v>46189.916666666657</v>
      </c>
      <c r="C82" s="182" t="str">
        <f>+'Group Stage Predictions'!C80</f>
        <v>San Francisco</v>
      </c>
      <c r="D82" s="17" t="str">
        <f>+'Group Stage Predictions'!D80</f>
        <v>Austria (AUT)</v>
      </c>
      <c r="E82" s="188">
        <f>+'Group Stage Predictions'!E80</f>
        <v>2</v>
      </c>
      <c r="F82" s="72" t="str">
        <f>+'Group Stage Predictions'!F80</f>
        <v>Jordan (JOR)</v>
      </c>
      <c r="G82" s="188">
        <f>+'Group Stage Predictions'!G80</f>
        <v>0</v>
      </c>
      <c r="I82" s="120"/>
      <c r="J82" s="209"/>
      <c r="K82" s="127"/>
      <c r="L82" s="127"/>
      <c r="M82" s="127"/>
      <c r="N82" s="127"/>
      <c r="O82" s="134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2:34" ht="18" customHeight="1">
      <c r="B83" s="180">
        <f>+'Group Stage Predictions'!B81</f>
        <v>46195.458333333343</v>
      </c>
      <c r="C83" s="182" t="str">
        <f>+'Group Stage Predictions'!C81</f>
        <v>Dallas</v>
      </c>
      <c r="D83" s="17" t="str">
        <f>+'Group Stage Predictions'!D81</f>
        <v>Argentina (ARG)</v>
      </c>
      <c r="E83" s="189">
        <f>+'Group Stage Predictions'!E81</f>
        <v>1</v>
      </c>
      <c r="F83" s="72" t="str">
        <f>+'Group Stage Predictions'!F81</f>
        <v>Austria (AUT)</v>
      </c>
      <c r="G83" s="189">
        <f>+'Group Stage Predictions'!G81</f>
        <v>0</v>
      </c>
      <c r="I83" s="120"/>
      <c r="J83" s="212" t="str">
        <f>+IF(ISBLANK('Group Stage Predictions'!E95)," ",+'Group Stage Predictions'!AL121)</f>
        <v>CIV</v>
      </c>
      <c r="K83" s="130" t="s">
        <v>271</v>
      </c>
      <c r="L83" s="135"/>
      <c r="M83" s="127"/>
      <c r="N83" s="127"/>
      <c r="O83" s="134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2:34" ht="18" customHeight="1">
      <c r="B84" s="180">
        <f>+'Group Stage Predictions'!B82</f>
        <v>46195.875</v>
      </c>
      <c r="C84" s="182" t="str">
        <f>+'Group Stage Predictions'!C82</f>
        <v>San Francisco</v>
      </c>
      <c r="D84" s="17" t="str">
        <f>+'Group Stage Predictions'!D82</f>
        <v>Jordan (JOR)</v>
      </c>
      <c r="E84" s="185">
        <f>+'Group Stage Predictions'!E82</f>
        <v>0</v>
      </c>
      <c r="F84" s="84" t="str">
        <f>+'Group Stage Predictions'!F82</f>
        <v>Algeria (ALG)</v>
      </c>
      <c r="G84" s="185">
        <f>+'Group Stage Predictions'!G82</f>
        <v>1</v>
      </c>
      <c r="I84" s="120"/>
      <c r="J84" s="209"/>
      <c r="K84" s="132"/>
      <c r="L84" s="222">
        <v>46208.75</v>
      </c>
      <c r="M84" s="127"/>
      <c r="N84" s="127"/>
      <c r="O84" s="134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2:34" ht="18" customHeight="1">
      <c r="B85" s="180">
        <f>+'Group Stage Predictions'!B83</f>
        <v>46200.833333333343</v>
      </c>
      <c r="C85" s="182" t="str">
        <f>+'Group Stage Predictions'!C83</f>
        <v>Dallas</v>
      </c>
      <c r="D85" s="17" t="str">
        <f>+'Group Stage Predictions'!D83</f>
        <v>Jordan (JOR)</v>
      </c>
      <c r="E85" s="186">
        <f>+'Group Stage Predictions'!E83</f>
        <v>0</v>
      </c>
      <c r="F85" s="72" t="str">
        <f>+'Group Stage Predictions'!F83</f>
        <v>Argentina (ARG)</v>
      </c>
      <c r="G85" s="186">
        <f>+'Group Stage Predictions'!G83</f>
        <v>5</v>
      </c>
      <c r="I85" s="120"/>
      <c r="J85" s="209"/>
      <c r="K85" s="1"/>
      <c r="L85" s="223" t="s">
        <v>41</v>
      </c>
      <c r="M85" s="127"/>
      <c r="N85" s="127"/>
      <c r="O85" s="134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2:34" ht="18" customHeight="1">
      <c r="B86" s="183">
        <f>+'Group Stage Predictions'!B84</f>
        <v>46200.833333333343</v>
      </c>
      <c r="C86" s="184" t="str">
        <f>+'Group Stage Predictions'!C84</f>
        <v>Kansas City</v>
      </c>
      <c r="D86" s="68" t="str">
        <f>+'Group Stage Predictions'!D84</f>
        <v>Algeria (ALG)</v>
      </c>
      <c r="E86" s="186">
        <f>+'Group Stage Predictions'!E84</f>
        <v>0</v>
      </c>
      <c r="F86" s="78" t="str">
        <f>+'Group Stage Predictions'!F84</f>
        <v>Austria (AUT)</v>
      </c>
      <c r="G86" s="186">
        <f>+'Group Stage Predictions'!G84</f>
        <v>1</v>
      </c>
      <c r="I86" s="120"/>
      <c r="J86" s="212" t="str">
        <f>+IF(ISBLANK('Group Stage Predictions'!E95)," ",+'Group Stage Predictions'!K96)</f>
        <v>ENG</v>
      </c>
      <c r="K86" s="121" t="s">
        <v>132</v>
      </c>
      <c r="L86" s="224"/>
      <c r="M86" s="147" t="s">
        <v>241</v>
      </c>
      <c r="N86" s="127"/>
      <c r="O86" s="134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2:34" ht="18" customHeight="1">
      <c r="B87" s="6"/>
      <c r="D87" s="3"/>
      <c r="E87" s="86"/>
      <c r="F87" s="3"/>
      <c r="G87" s="86"/>
      <c r="I87" s="125">
        <v>46204.416666666657</v>
      </c>
      <c r="J87" s="209"/>
      <c r="K87" s="127"/>
      <c r="L87" s="127"/>
      <c r="N87" s="127"/>
      <c r="O87" s="134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2:34" ht="18" customHeight="1">
      <c r="B88" s="231" t="s">
        <v>219</v>
      </c>
      <c r="C88" s="232"/>
      <c r="D88" s="232"/>
      <c r="E88" s="232"/>
      <c r="F88" s="232"/>
      <c r="G88" s="233"/>
      <c r="I88" s="120" t="s">
        <v>79</v>
      </c>
      <c r="J88" s="210"/>
      <c r="K88" s="127"/>
      <c r="L88" s="147" t="s">
        <v>241</v>
      </c>
      <c r="N88" s="127"/>
      <c r="O88" s="134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2:34" ht="18" customHeight="1">
      <c r="B89" s="180">
        <f>+'Group Stage Predictions'!B87</f>
        <v>46190.458333333343</v>
      </c>
      <c r="C89" s="181" t="str">
        <f>+'Group Stage Predictions'!C87</f>
        <v>Houston</v>
      </c>
      <c r="D89" s="17" t="str">
        <f>+'Group Stage Predictions'!D87</f>
        <v>Portugal (POR)</v>
      </c>
      <c r="E89" s="185">
        <f>+'Group Stage Predictions'!E87</f>
        <v>2</v>
      </c>
      <c r="F89" s="218" t="str">
        <f>+'Group Stage Predictions'!F87</f>
        <v>DR Congo (COD)</v>
      </c>
      <c r="G89" s="185">
        <f>+'Group Stage Predictions'!G87</f>
        <v>0</v>
      </c>
      <c r="I89" s="120"/>
      <c r="J89" s="209"/>
      <c r="K89" s="127"/>
      <c r="N89" s="127"/>
      <c r="O89" s="134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2:34" ht="18" customHeight="1">
      <c r="B90" s="180">
        <f>+'Group Stage Predictions'!B88</f>
        <v>46190.833333333343</v>
      </c>
      <c r="C90" s="182" t="str">
        <f>+'Group Stage Predictions'!C88</f>
        <v>Mexico City</v>
      </c>
      <c r="D90" s="17" t="str">
        <f>+'Group Stage Predictions'!D88</f>
        <v>Uzbekistan (UZB)</v>
      </c>
      <c r="E90" s="188">
        <f>+'Group Stage Predictions'!E88</f>
        <v>0</v>
      </c>
      <c r="F90" s="72" t="str">
        <f>+'Group Stage Predictions'!F88</f>
        <v>Colombia (COL)</v>
      </c>
      <c r="G90" s="188">
        <f>+'Group Stage Predictions'!G88</f>
        <v>2</v>
      </c>
      <c r="I90" s="120"/>
      <c r="J90" s="212" t="str">
        <f>+IF(ISBLANK('Group Stage Predictions'!E95)," ",+'Group Stage Predictions'!AS121)</f>
        <v>UZB</v>
      </c>
      <c r="K90" s="130" t="s">
        <v>272</v>
      </c>
      <c r="N90" s="127"/>
      <c r="O90" s="134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2:34" ht="18" customHeight="1">
      <c r="B91" s="180">
        <f>+'Group Stage Predictions'!B89</f>
        <v>46196.458333333343</v>
      </c>
      <c r="C91" s="182" t="str">
        <f>+'Group Stage Predictions'!C89</f>
        <v>Houston</v>
      </c>
      <c r="D91" s="17" t="str">
        <f>+'Group Stage Predictions'!D89</f>
        <v>Portugal (POR)</v>
      </c>
      <c r="E91" s="189">
        <f>+'Group Stage Predictions'!E89</f>
        <v>3</v>
      </c>
      <c r="F91" s="72" t="str">
        <f>+'Group Stage Predictions'!F89</f>
        <v>Uzbekistan (UZB)</v>
      </c>
      <c r="G91" s="189">
        <f>+'Group Stage Predictions'!G89</f>
        <v>0</v>
      </c>
      <c r="I91" s="120"/>
      <c r="J91" s="209"/>
      <c r="N91" s="127"/>
      <c r="O91" s="134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2:34" ht="18" customHeight="1">
      <c r="B92" s="180">
        <f>+'Group Stage Predictions'!B90</f>
        <v>46196.833333333343</v>
      </c>
      <c r="C92" s="182" t="str">
        <f>+'Group Stage Predictions'!C90</f>
        <v>Guadalajara</v>
      </c>
      <c r="D92" s="17" t="str">
        <f>+'Group Stage Predictions'!D90</f>
        <v>Colombia (COL)</v>
      </c>
      <c r="E92" s="185">
        <f>+'Group Stage Predictions'!E90</f>
        <v>1</v>
      </c>
      <c r="F92" s="217" t="str">
        <f>+'Group Stage Predictions'!F90</f>
        <v>DR Congo (COD)</v>
      </c>
      <c r="G92" s="185">
        <f>+'Group Stage Predictions'!G90</f>
        <v>0</v>
      </c>
      <c r="I92" s="120"/>
      <c r="J92" s="209"/>
      <c r="M92" s="1"/>
      <c r="N92" s="222">
        <v>43296.541666666657</v>
      </c>
      <c r="O92" s="148" t="s">
        <v>205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2:34" ht="18" customHeight="1">
      <c r="B93" s="180">
        <f>+'Group Stage Predictions'!B91</f>
        <v>46200.729166666657</v>
      </c>
      <c r="C93" s="182" t="str">
        <f>+'Group Stage Predictions'!C91</f>
        <v>Miami</v>
      </c>
      <c r="D93" s="17" t="str">
        <f>+'Group Stage Predictions'!D91</f>
        <v>Colombia (COL)</v>
      </c>
      <c r="E93" s="186">
        <f>+'Group Stage Predictions'!E91</f>
        <v>0</v>
      </c>
      <c r="F93" s="72" t="str">
        <f>+'Group Stage Predictions'!F91</f>
        <v>Portugal (POR)</v>
      </c>
      <c r="G93" s="186">
        <f>+'Group Stage Predictions'!G91</f>
        <v>1</v>
      </c>
      <c r="I93" s="120"/>
      <c r="J93" s="212" t="str">
        <f>+IF(ISBLANK('Group Stage Predictions'!E87)," ",'Group Stage Predictions'!K88)</f>
        <v>POR</v>
      </c>
      <c r="K93" s="121" t="s">
        <v>131</v>
      </c>
      <c r="N93" s="223" t="s">
        <v>79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2:34" ht="18" customHeight="1">
      <c r="B94" s="183">
        <f>+'Group Stage Predictions'!B92</f>
        <v>46200.729166666657</v>
      </c>
      <c r="C94" s="184" t="str">
        <f>+'Group Stage Predictions'!C92</f>
        <v>Atlanta</v>
      </c>
      <c r="D94" s="220" t="str">
        <f>+'Group Stage Predictions'!D92</f>
        <v>DR Congo (COD)</v>
      </c>
      <c r="E94" s="186">
        <f>+'Group Stage Predictions'!E92</f>
        <v>0</v>
      </c>
      <c r="F94" s="78" t="str">
        <f>+'Group Stage Predictions'!F92</f>
        <v>Uzbekistan (UZB)</v>
      </c>
      <c r="G94" s="186">
        <f>+'Group Stage Predictions'!G92</f>
        <v>1</v>
      </c>
      <c r="I94" s="143">
        <v>46206.8125</v>
      </c>
      <c r="J94" s="209"/>
      <c r="K94" s="127"/>
      <c r="N94" s="13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2:34" ht="18" customHeight="1">
      <c r="B95" s="6"/>
      <c r="D95" s="3"/>
      <c r="E95" s="86"/>
      <c r="F95" s="3"/>
      <c r="G95" s="86"/>
      <c r="I95" s="120" t="s">
        <v>95</v>
      </c>
      <c r="J95" s="210"/>
      <c r="K95" s="127"/>
      <c r="L95" s="146" t="s">
        <v>223</v>
      </c>
      <c r="N95" s="127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2:34" ht="18" customHeight="1">
      <c r="B96" s="231" t="s">
        <v>237</v>
      </c>
      <c r="C96" s="232"/>
      <c r="D96" s="232"/>
      <c r="E96" s="232"/>
      <c r="F96" s="232"/>
      <c r="G96" s="233"/>
      <c r="I96" s="120"/>
      <c r="J96" s="209"/>
      <c r="K96" s="127"/>
      <c r="L96" s="127"/>
      <c r="N96" s="127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2:34" ht="18" customHeight="1">
      <c r="B97" s="180">
        <f>+'Group Stage Predictions'!B95</f>
        <v>46190.583333333343</v>
      </c>
      <c r="C97" s="181" t="str">
        <f>+'Group Stage Predictions'!C95</f>
        <v>Dallas</v>
      </c>
      <c r="D97" s="17" t="str">
        <f>+'Group Stage Predictions'!D95</f>
        <v>England (ENG)</v>
      </c>
      <c r="E97" s="185">
        <f>+'Group Stage Predictions'!E95</f>
        <v>1</v>
      </c>
      <c r="F97" s="83" t="str">
        <f>+'Group Stage Predictions'!F95</f>
        <v>Croatia (CRO)</v>
      </c>
      <c r="G97" s="185">
        <f>+'Group Stage Predictions'!G95</f>
        <v>0</v>
      </c>
      <c r="I97" s="120"/>
      <c r="J97" s="212" t="str">
        <f>+IF(ISBLANK('Group Stage Predictions'!E63)," ",+'Group Stage Predictions'!AR121)</f>
        <v>GHA</v>
      </c>
      <c r="K97" s="130" t="s">
        <v>273</v>
      </c>
      <c r="L97" s="127"/>
      <c r="N97" s="127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2:34" ht="18" customHeight="1">
      <c r="B98" s="180">
        <f>+'Group Stage Predictions'!B96</f>
        <v>46190.708333333343</v>
      </c>
      <c r="C98" s="182" t="str">
        <f>+'Group Stage Predictions'!C96</f>
        <v>Toronto</v>
      </c>
      <c r="D98" s="17" t="str">
        <f>+'Group Stage Predictions'!D96</f>
        <v>Ghana (GHA)</v>
      </c>
      <c r="E98" s="188">
        <f>+'Group Stage Predictions'!E96</f>
        <v>1</v>
      </c>
      <c r="F98" s="72" t="str">
        <f>+'Group Stage Predictions'!F96</f>
        <v>Panama (PAN)</v>
      </c>
      <c r="G98" s="188">
        <f>+'Group Stage Predictions'!G96</f>
        <v>0</v>
      </c>
      <c r="I98" s="120"/>
      <c r="J98" s="209"/>
      <c r="K98" s="132"/>
      <c r="L98" s="222">
        <v>43288.583333333343</v>
      </c>
      <c r="N98" s="127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2:34" ht="18" customHeight="1">
      <c r="B99" s="180">
        <f>+'Group Stage Predictions'!B97</f>
        <v>46196.583333333343</v>
      </c>
      <c r="C99" s="182" t="str">
        <f>+'Group Stage Predictions'!C97</f>
        <v>Boston</v>
      </c>
      <c r="D99" s="17" t="str">
        <f>+'Group Stage Predictions'!D97</f>
        <v>England (ENG)</v>
      </c>
      <c r="E99" s="189">
        <f>+'Group Stage Predictions'!E97</f>
        <v>2</v>
      </c>
      <c r="F99" s="72" t="str">
        <f>+'Group Stage Predictions'!F97</f>
        <v>Ghana (GHA)</v>
      </c>
      <c r="G99" s="189">
        <f>+'Group Stage Predictions'!G97</f>
        <v>0</v>
      </c>
      <c r="I99" s="120"/>
      <c r="J99" s="209"/>
      <c r="L99" s="225" t="s">
        <v>84</v>
      </c>
      <c r="M99" s="146" t="s">
        <v>223</v>
      </c>
      <c r="N99" s="127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2:34" ht="18" customHeight="1">
      <c r="B100" s="180">
        <f>+'Group Stage Predictions'!B98</f>
        <v>46196.708333333343</v>
      </c>
      <c r="C100" s="182" t="str">
        <f>+'Group Stage Predictions'!C98</f>
        <v>Toronto</v>
      </c>
      <c r="D100" s="17" t="str">
        <f>+'Group Stage Predictions'!D98</f>
        <v>Panama (PAN)</v>
      </c>
      <c r="E100" s="185">
        <f>+'Group Stage Predictions'!E98</f>
        <v>0</v>
      </c>
      <c r="F100" s="84" t="str">
        <f>+'Group Stage Predictions'!F98</f>
        <v>Croatia (CRO)</v>
      </c>
      <c r="G100" s="185">
        <f>+'Group Stage Predictions'!G98</f>
        <v>2</v>
      </c>
      <c r="I100" s="120"/>
      <c r="J100" s="212" t="str">
        <f>+IF(ISBLANK('Group Stage Predictions'!E15)," ",+'Group Stage Predictions'!K16)</f>
        <v>SUI</v>
      </c>
      <c r="K100" s="121" t="s">
        <v>126</v>
      </c>
      <c r="L100" s="133"/>
      <c r="M100" s="127"/>
      <c r="N100" s="127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2:34" ht="18" customHeight="1">
      <c r="B101" s="180">
        <f>+'Group Stage Predictions'!B99</f>
        <v>46200.625</v>
      </c>
      <c r="C101" s="182" t="str">
        <f>+'Group Stage Predictions'!C99</f>
        <v>New Jersey</v>
      </c>
      <c r="D101" s="17" t="str">
        <f>+'Group Stage Predictions'!D99</f>
        <v>Panama (PAN)</v>
      </c>
      <c r="E101" s="186">
        <f>+'Group Stage Predictions'!E99</f>
        <v>0</v>
      </c>
      <c r="F101" s="72" t="str">
        <f>+'Group Stage Predictions'!F99</f>
        <v>England (ENG)</v>
      </c>
      <c r="G101" s="186">
        <f>+'Group Stage Predictions'!G99</f>
        <v>4</v>
      </c>
      <c r="I101" s="125">
        <v>46205.875</v>
      </c>
      <c r="J101" s="209"/>
      <c r="K101" s="127"/>
      <c r="L101" s="127"/>
      <c r="M101" s="127"/>
      <c r="N101" s="127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2:34" ht="18" customHeight="1">
      <c r="B102" s="183">
        <f>+'Group Stage Predictions'!B100</f>
        <v>46200.625</v>
      </c>
      <c r="C102" s="184" t="str">
        <f>+'Group Stage Predictions'!C100</f>
        <v>Philadelphia</v>
      </c>
      <c r="D102" s="68" t="str">
        <f>+'Group Stage Predictions'!D100</f>
        <v>Croatia (CRO)</v>
      </c>
      <c r="E102" s="186">
        <f>+'Group Stage Predictions'!E100</f>
        <v>1</v>
      </c>
      <c r="F102" s="78" t="str">
        <f>+'Group Stage Predictions'!F100</f>
        <v>Ghana (GHA)</v>
      </c>
      <c r="G102" s="186">
        <f>+'Group Stage Predictions'!G100</f>
        <v>0</v>
      </c>
      <c r="I102" s="120" t="s">
        <v>84</v>
      </c>
      <c r="J102" s="210"/>
      <c r="K102" s="127"/>
      <c r="L102" s="147" t="s">
        <v>179</v>
      </c>
      <c r="M102" s="127"/>
      <c r="N102" s="127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2:34" ht="18" customHeight="1">
      <c r="D103" s="138"/>
      <c r="E103" s="86"/>
      <c r="G103" s="139"/>
      <c r="I103" s="120"/>
      <c r="J103" s="209"/>
      <c r="K103" s="127"/>
      <c r="M103" s="127"/>
      <c r="N103" s="127"/>
    </row>
    <row r="104" spans="2:34" ht="18" customHeight="1">
      <c r="D104" s="138"/>
      <c r="E104" s="86"/>
      <c r="G104" s="139"/>
      <c r="I104" s="120"/>
      <c r="J104" s="212" t="str">
        <f>+IF(ISBLANK('Group Stage Predictions'!E79)," ",+'Group Stage Predictions'!AM121)</f>
        <v>ALG</v>
      </c>
      <c r="K104" s="130" t="s">
        <v>274</v>
      </c>
      <c r="M104" s="127"/>
      <c r="N104" s="127"/>
    </row>
    <row r="105" spans="2:34" ht="18" customHeight="1">
      <c r="B105" s="144"/>
      <c r="C105" s="145"/>
      <c r="D105" s="138"/>
      <c r="E105" s="86"/>
      <c r="G105" s="139"/>
      <c r="I105" s="120"/>
      <c r="J105" s="209"/>
      <c r="M105" s="127"/>
      <c r="N105" s="127"/>
    </row>
    <row r="106" spans="2:34" ht="18" customHeight="1">
      <c r="B106" s="140"/>
      <c r="C106" s="157"/>
      <c r="D106" s="157"/>
      <c r="E106" s="86"/>
      <c r="G106" s="139"/>
      <c r="I106" s="120"/>
      <c r="J106" s="209"/>
      <c r="L106" s="1"/>
      <c r="M106" s="222">
        <v>46214.791666666657</v>
      </c>
      <c r="N106" s="127"/>
    </row>
    <row r="107" spans="2:34" ht="18" customHeight="1">
      <c r="C107" s="157"/>
      <c r="D107" s="157"/>
      <c r="E107" s="86"/>
      <c r="G107" s="139"/>
      <c r="I107" s="120"/>
      <c r="J107" s="212" t="str">
        <f>+IF(ISBLANK('Group Stage Predictions'!E95)," ",+'Group Stage Predictions'!K80)</f>
        <v>ARG</v>
      </c>
      <c r="K107" s="121" t="s">
        <v>275</v>
      </c>
      <c r="M107" s="223" t="s">
        <v>95</v>
      </c>
      <c r="N107" s="147" t="s">
        <v>205</v>
      </c>
    </row>
    <row r="108" spans="2:34" ht="18" customHeight="1">
      <c r="C108" s="157"/>
      <c r="D108" s="157"/>
      <c r="E108" s="86"/>
      <c r="G108" s="139"/>
      <c r="I108" s="125">
        <v>46202.666666666657</v>
      </c>
      <c r="J108" s="209"/>
      <c r="K108" s="127"/>
      <c r="M108" s="133"/>
    </row>
    <row r="109" spans="2:34" ht="18" customHeight="1">
      <c r="B109" s="7"/>
      <c r="C109" s="244"/>
      <c r="D109" s="245"/>
      <c r="E109" s="86"/>
      <c r="G109" s="139"/>
      <c r="I109" s="120" t="s">
        <v>91</v>
      </c>
      <c r="J109" s="210"/>
      <c r="K109" s="127"/>
      <c r="L109" s="146" t="s">
        <v>205</v>
      </c>
      <c r="M109" s="127"/>
    </row>
    <row r="110" spans="2:34" ht="18" customHeight="1">
      <c r="C110" s="157"/>
      <c r="D110" s="157"/>
      <c r="E110" s="86"/>
      <c r="G110" s="139"/>
      <c r="I110" s="120"/>
      <c r="J110" s="209"/>
      <c r="K110" s="127"/>
      <c r="L110" s="127"/>
      <c r="M110" s="127"/>
    </row>
    <row r="111" spans="2:34" ht="18" customHeight="1">
      <c r="B111" s="7"/>
      <c r="C111" s="244"/>
      <c r="D111" s="245"/>
      <c r="E111" s="86"/>
      <c r="G111" s="139"/>
      <c r="I111" s="120"/>
      <c r="J111" s="212" t="str">
        <f>+IF(ISBLANK('Group Stage Predictions'!E95)," ",+'Group Stage Predictions'!K65)</f>
        <v>URU</v>
      </c>
      <c r="K111" s="130" t="s">
        <v>276</v>
      </c>
      <c r="L111" s="221"/>
      <c r="M111" s="127"/>
    </row>
    <row r="112" spans="2:34" ht="18" customHeight="1">
      <c r="B112" s="7"/>
      <c r="C112" s="157"/>
      <c r="D112" s="157"/>
      <c r="E112" s="86"/>
      <c r="G112" s="139"/>
      <c r="I112" s="120"/>
      <c r="J112" s="209"/>
      <c r="K112" s="132"/>
      <c r="L112" s="222">
        <v>43288.416666666657</v>
      </c>
      <c r="M112" s="127"/>
    </row>
    <row r="113" spans="2:13" ht="18" customHeight="1">
      <c r="B113" s="7"/>
      <c r="C113" s="244"/>
      <c r="D113" s="245"/>
      <c r="E113" s="86"/>
      <c r="G113" s="139"/>
      <c r="I113" s="120"/>
      <c r="J113" s="209"/>
      <c r="L113" s="223" t="s">
        <v>79</v>
      </c>
      <c r="M113" s="147" t="s">
        <v>205</v>
      </c>
    </row>
    <row r="114" spans="2:13" ht="18" customHeight="1">
      <c r="C114" s="190"/>
      <c r="D114" s="157"/>
      <c r="E114" s="86"/>
      <c r="G114" s="139"/>
      <c r="I114" s="120"/>
      <c r="J114" s="214" t="str">
        <f>+IF(ISBLANK('Group Stage Predictions'!E95)," ",+'Group Stage Predictions'!K33)</f>
        <v>TUR</v>
      </c>
      <c r="K114" s="121" t="s">
        <v>277</v>
      </c>
      <c r="L114" s="224"/>
    </row>
    <row r="115" spans="2:13" ht="18" customHeight="1">
      <c r="C115" s="190"/>
      <c r="D115" s="157"/>
      <c r="E115" s="86"/>
      <c r="G115" s="139"/>
      <c r="I115" s="125">
        <v>46206.5</v>
      </c>
      <c r="J115" s="209"/>
      <c r="K115" s="127"/>
      <c r="L115" s="127"/>
    </row>
    <row r="116" spans="2:13" ht="18" customHeight="1">
      <c r="C116" s="18"/>
      <c r="E116" s="86"/>
      <c r="G116" s="139"/>
      <c r="I116" s="120" t="s">
        <v>97</v>
      </c>
      <c r="J116" s="210"/>
      <c r="K116" s="127"/>
      <c r="L116" s="147" t="s">
        <v>214</v>
      </c>
    </row>
    <row r="117" spans="2:13" ht="18" customHeight="1">
      <c r="C117" s="18"/>
      <c r="E117" s="86"/>
      <c r="G117" s="139"/>
      <c r="I117" s="120"/>
      <c r="J117" s="209"/>
      <c r="K117" s="127"/>
    </row>
    <row r="118" spans="2:13" ht="18" customHeight="1">
      <c r="C118" s="18"/>
      <c r="E118" s="86"/>
      <c r="G118" s="139"/>
      <c r="I118" s="120"/>
      <c r="J118" s="212" t="str">
        <f>+IF(ISBLANK('Group Stage Predictions'!E99)," ",+'Group Stage Predictions'!K57)</f>
        <v>EGY</v>
      </c>
      <c r="K118" s="130" t="s">
        <v>278</v>
      </c>
    </row>
    <row r="119" spans="2:13" ht="18" customHeight="1">
      <c r="C119" s="18"/>
      <c r="E119" s="86"/>
      <c r="G119" s="139"/>
      <c r="I119" s="120"/>
      <c r="J119" s="208"/>
    </row>
    <row r="120" spans="2:13" ht="18" customHeight="1">
      <c r="C120" s="18"/>
      <c r="E120" s="86"/>
      <c r="G120" s="139"/>
      <c r="I120" s="120"/>
      <c r="J120" s="208"/>
    </row>
    <row r="121" spans="2:13" ht="18" customHeight="1">
      <c r="C121" s="18"/>
      <c r="E121" s="86"/>
      <c r="G121" s="139"/>
      <c r="I121" s="120"/>
      <c r="J121" s="208"/>
    </row>
    <row r="122" spans="2:13" ht="18" customHeight="1">
      <c r="C122" s="18"/>
      <c r="E122" s="86"/>
      <c r="G122" s="139"/>
      <c r="I122" s="120"/>
      <c r="J122" s="208"/>
    </row>
    <row r="123" spans="2:13" ht="18" customHeight="1">
      <c r="C123" s="18"/>
      <c r="E123" s="86"/>
      <c r="G123" s="139"/>
      <c r="I123" s="120"/>
      <c r="J123" s="208"/>
    </row>
    <row r="124" spans="2:13" ht="18" customHeight="1">
      <c r="E124" s="86"/>
      <c r="G124" s="139"/>
      <c r="I124" s="120"/>
      <c r="J124" s="208"/>
    </row>
    <row r="125" spans="2:13" ht="18" customHeight="1">
      <c r="E125" s="86"/>
      <c r="G125" s="139"/>
      <c r="I125" s="120"/>
      <c r="J125" s="208"/>
    </row>
    <row r="126" spans="2:13" ht="18" customHeight="1">
      <c r="E126" s="86"/>
      <c r="G126" s="139"/>
      <c r="I126" s="120"/>
      <c r="J126" s="208"/>
    </row>
    <row r="127" spans="2:13" ht="18" customHeight="1">
      <c r="E127" s="86"/>
      <c r="G127" s="139"/>
      <c r="I127" s="120"/>
      <c r="J127" s="208"/>
    </row>
    <row r="128" spans="2:13" ht="18" customHeight="1">
      <c r="E128" s="86"/>
      <c r="G128" s="139"/>
      <c r="I128" s="120"/>
      <c r="J128" s="208"/>
    </row>
    <row r="129" spans="5:10" ht="18" customHeight="1">
      <c r="E129" s="86"/>
      <c r="G129" s="139"/>
      <c r="I129" s="120"/>
      <c r="J129" s="208"/>
    </row>
    <row r="130" spans="5:10" ht="18" customHeight="1">
      <c r="E130" s="86"/>
      <c r="G130" s="139"/>
      <c r="I130" s="120"/>
      <c r="J130" s="208"/>
    </row>
    <row r="131" spans="5:10" ht="18" customHeight="1">
      <c r="E131" s="86"/>
      <c r="G131" s="139"/>
      <c r="I131" s="120"/>
      <c r="J131" s="208"/>
    </row>
    <row r="132" spans="5:10" ht="18" customHeight="1">
      <c r="E132" s="86"/>
      <c r="G132" s="139"/>
      <c r="I132" s="120"/>
      <c r="J132" s="208"/>
    </row>
    <row r="133" spans="5:10" ht="18" customHeight="1">
      <c r="E133" s="86"/>
      <c r="G133" s="139"/>
      <c r="I133" s="120"/>
      <c r="J133" s="208"/>
    </row>
    <row r="134" spans="5:10" ht="18" customHeight="1">
      <c r="E134" s="86"/>
      <c r="G134" s="139"/>
      <c r="I134" s="120"/>
      <c r="J134" s="208"/>
    </row>
    <row r="135" spans="5:10" ht="18" customHeight="1">
      <c r="E135" s="86"/>
      <c r="G135" s="139"/>
      <c r="I135" s="120"/>
      <c r="J135" s="208"/>
    </row>
    <row r="136" spans="5:10" ht="18" customHeight="1">
      <c r="E136" s="86"/>
      <c r="G136" s="139"/>
      <c r="I136" s="120"/>
      <c r="J136" s="208"/>
    </row>
    <row r="137" spans="5:10" ht="18" customHeight="1">
      <c r="E137" s="86"/>
      <c r="G137" s="139"/>
      <c r="I137" s="120"/>
      <c r="J137" s="208"/>
    </row>
    <row r="138" spans="5:10" ht="18" customHeight="1">
      <c r="E138" s="86"/>
      <c r="G138" s="139"/>
      <c r="I138" s="120"/>
      <c r="J138" s="208"/>
    </row>
    <row r="139" spans="5:10" ht="18" customHeight="1">
      <c r="E139" s="86"/>
      <c r="G139" s="139"/>
      <c r="I139" s="120"/>
      <c r="J139" s="208"/>
    </row>
    <row r="140" spans="5:10" ht="18" customHeight="1">
      <c r="E140" s="86"/>
      <c r="G140" s="139"/>
      <c r="I140" s="120"/>
      <c r="J140" s="208"/>
    </row>
    <row r="141" spans="5:10" ht="18" customHeight="1">
      <c r="E141" s="86"/>
      <c r="G141" s="139"/>
      <c r="I141" s="120"/>
      <c r="J141" s="208"/>
    </row>
    <row r="142" spans="5:10" ht="18" customHeight="1">
      <c r="E142" s="86"/>
      <c r="G142" s="139"/>
      <c r="I142" s="120"/>
      <c r="J142" s="208"/>
    </row>
    <row r="143" spans="5:10" ht="18" customHeight="1">
      <c r="E143" s="86"/>
      <c r="G143" s="139"/>
      <c r="I143" s="120"/>
      <c r="J143" s="208"/>
    </row>
    <row r="144" spans="5:10" ht="18" customHeight="1">
      <c r="E144" s="86"/>
      <c r="G144" s="139"/>
      <c r="I144" s="120"/>
      <c r="J144" s="208"/>
    </row>
    <row r="145" spans="5:10" ht="18" customHeight="1">
      <c r="E145" s="86"/>
      <c r="G145" s="139"/>
      <c r="I145" s="120"/>
      <c r="J145" s="208"/>
    </row>
    <row r="146" spans="5:10" ht="18" customHeight="1">
      <c r="E146" s="86"/>
      <c r="G146" s="139"/>
      <c r="I146" s="120"/>
      <c r="J146" s="208"/>
    </row>
    <row r="147" spans="5:10" ht="18" customHeight="1">
      <c r="E147" s="86"/>
      <c r="G147" s="139"/>
      <c r="I147" s="120"/>
      <c r="J147" s="208"/>
    </row>
    <row r="148" spans="5:10" ht="18" customHeight="1">
      <c r="E148" s="86"/>
      <c r="G148" s="139"/>
      <c r="I148" s="120"/>
      <c r="J148" s="208"/>
    </row>
    <row r="149" spans="5:10" ht="18" customHeight="1">
      <c r="E149" s="86"/>
      <c r="G149" s="139"/>
      <c r="I149" s="120"/>
      <c r="J149" s="208"/>
    </row>
    <row r="150" spans="5:10" ht="18" customHeight="1">
      <c r="E150" s="86"/>
      <c r="G150" s="139"/>
      <c r="I150" s="120"/>
      <c r="J150" s="208"/>
    </row>
    <row r="151" spans="5:10" ht="18" customHeight="1">
      <c r="E151" s="86"/>
      <c r="G151" s="139"/>
      <c r="I151" s="120"/>
      <c r="J151" s="208"/>
    </row>
    <row r="152" spans="5:10" ht="18" customHeight="1">
      <c r="E152" s="86"/>
      <c r="G152" s="139"/>
      <c r="I152" s="120"/>
      <c r="J152" s="208"/>
    </row>
    <row r="153" spans="5:10" ht="18" customHeight="1">
      <c r="E153" s="86"/>
      <c r="G153" s="139"/>
      <c r="I153" s="120"/>
      <c r="J153" s="208"/>
    </row>
    <row r="154" spans="5:10" ht="18" customHeight="1">
      <c r="E154" s="86"/>
      <c r="G154" s="139"/>
      <c r="I154" s="120"/>
      <c r="J154" s="208"/>
    </row>
    <row r="155" spans="5:10" ht="18" customHeight="1">
      <c r="E155" s="86"/>
      <c r="G155" s="139"/>
      <c r="I155" s="120"/>
      <c r="J155" s="208"/>
    </row>
    <row r="156" spans="5:10" ht="18" customHeight="1">
      <c r="E156" s="86"/>
      <c r="G156" s="139"/>
      <c r="I156" s="120"/>
      <c r="J156" s="208"/>
    </row>
    <row r="157" spans="5:10" ht="18" customHeight="1">
      <c r="E157" s="86"/>
      <c r="G157" s="139"/>
      <c r="I157" s="120"/>
      <c r="J157" s="208"/>
    </row>
    <row r="158" spans="5:10" ht="18" customHeight="1">
      <c r="E158" s="86"/>
      <c r="G158" s="139"/>
      <c r="I158" s="120"/>
      <c r="J158" s="208"/>
    </row>
    <row r="159" spans="5:10" ht="18" customHeight="1">
      <c r="E159" s="86"/>
      <c r="G159" s="139"/>
      <c r="I159" s="120"/>
      <c r="J159" s="208"/>
    </row>
    <row r="160" spans="5:10" ht="18" customHeight="1">
      <c r="E160" s="86"/>
      <c r="G160" s="139"/>
      <c r="I160" s="120"/>
      <c r="J160" s="208"/>
    </row>
    <row r="161" spans="5:10" ht="18" customHeight="1">
      <c r="E161" s="86"/>
      <c r="G161" s="139"/>
      <c r="I161" s="120"/>
      <c r="J161" s="208"/>
    </row>
    <row r="162" spans="5:10" ht="18" customHeight="1">
      <c r="E162" s="86"/>
      <c r="G162" s="139"/>
      <c r="I162" s="120"/>
      <c r="J162" s="208"/>
    </row>
    <row r="163" spans="5:10" ht="18" customHeight="1">
      <c r="E163" s="86"/>
      <c r="G163" s="139"/>
      <c r="I163" s="120"/>
      <c r="J163" s="208"/>
    </row>
    <row r="164" spans="5:10" ht="18" customHeight="1">
      <c r="E164" s="86"/>
      <c r="G164" s="139"/>
      <c r="I164" s="120"/>
      <c r="J164" s="208"/>
    </row>
    <row r="165" spans="5:10" ht="18" customHeight="1">
      <c r="E165" s="86"/>
      <c r="G165" s="139"/>
      <c r="I165" s="120"/>
      <c r="J165" s="208"/>
    </row>
    <row r="166" spans="5:10" ht="18" customHeight="1">
      <c r="E166" s="86"/>
      <c r="G166" s="139"/>
      <c r="I166" s="120"/>
      <c r="J166" s="208"/>
    </row>
    <row r="167" spans="5:10" ht="18" customHeight="1">
      <c r="E167" s="86"/>
      <c r="G167" s="139"/>
      <c r="I167" s="120"/>
      <c r="J167" s="208"/>
    </row>
    <row r="168" spans="5:10" ht="18" customHeight="1">
      <c r="E168" s="86"/>
      <c r="G168" s="139"/>
      <c r="I168" s="120"/>
      <c r="J168" s="208"/>
    </row>
    <row r="169" spans="5:10" ht="18" customHeight="1">
      <c r="E169" s="86"/>
      <c r="G169" s="139"/>
      <c r="I169" s="120"/>
      <c r="J169" s="208"/>
    </row>
    <row r="170" spans="5:10" ht="18" customHeight="1">
      <c r="E170" s="86"/>
      <c r="G170" s="139"/>
      <c r="I170" s="120"/>
      <c r="J170" s="208"/>
    </row>
    <row r="171" spans="5:10" ht="18" customHeight="1">
      <c r="E171" s="86"/>
      <c r="G171" s="139"/>
      <c r="I171" s="120"/>
      <c r="J171" s="208"/>
    </row>
    <row r="172" spans="5:10" ht="18" customHeight="1">
      <c r="E172" s="86"/>
      <c r="G172" s="139"/>
      <c r="I172" s="120"/>
      <c r="J172" s="208"/>
    </row>
    <row r="173" spans="5:10" ht="18" customHeight="1">
      <c r="E173" s="86"/>
      <c r="G173" s="139"/>
      <c r="I173" s="120"/>
      <c r="J173" s="208"/>
    </row>
    <row r="174" spans="5:10" ht="18" customHeight="1">
      <c r="E174" s="86"/>
      <c r="G174" s="139"/>
      <c r="I174" s="120"/>
      <c r="J174" s="208"/>
    </row>
    <row r="175" spans="5:10" ht="18" customHeight="1">
      <c r="E175" s="86"/>
      <c r="G175" s="139"/>
      <c r="I175" s="120"/>
      <c r="J175" s="208"/>
    </row>
    <row r="176" spans="5:10" ht="18" customHeight="1">
      <c r="E176" s="86"/>
      <c r="G176" s="139"/>
      <c r="I176" s="120"/>
      <c r="J176" s="208"/>
    </row>
    <row r="177" spans="5:10" ht="18" customHeight="1">
      <c r="E177" s="86"/>
      <c r="G177" s="139"/>
      <c r="I177" s="120"/>
      <c r="J177" s="208"/>
    </row>
    <row r="178" spans="5:10" ht="18" customHeight="1">
      <c r="E178" s="86"/>
      <c r="G178" s="139"/>
      <c r="I178" s="120"/>
      <c r="J178" s="208"/>
    </row>
    <row r="179" spans="5:10" ht="18" customHeight="1">
      <c r="E179" s="86"/>
      <c r="G179" s="139"/>
      <c r="I179" s="120"/>
      <c r="J179" s="208"/>
    </row>
    <row r="180" spans="5:10" ht="18" customHeight="1">
      <c r="E180" s="86"/>
      <c r="G180" s="139"/>
      <c r="I180" s="120"/>
      <c r="J180" s="208"/>
    </row>
    <row r="181" spans="5:10" ht="18" customHeight="1">
      <c r="E181" s="86"/>
      <c r="G181" s="139"/>
      <c r="I181" s="120"/>
      <c r="J181" s="208"/>
    </row>
    <row r="182" spans="5:10" ht="18" customHeight="1">
      <c r="E182" s="86"/>
      <c r="G182" s="139"/>
      <c r="I182" s="120"/>
      <c r="J182" s="208"/>
    </row>
    <row r="183" spans="5:10" ht="18" customHeight="1">
      <c r="E183" s="86"/>
      <c r="G183" s="139"/>
      <c r="I183" s="120"/>
      <c r="J183" s="208"/>
    </row>
    <row r="184" spans="5:10" ht="18" customHeight="1">
      <c r="E184" s="86"/>
      <c r="G184" s="139"/>
      <c r="I184" s="120"/>
      <c r="J184" s="208"/>
    </row>
    <row r="185" spans="5:10" ht="18" customHeight="1">
      <c r="E185" s="86"/>
      <c r="G185" s="139"/>
      <c r="I185" s="120"/>
      <c r="J185" s="208"/>
    </row>
    <row r="186" spans="5:10" ht="18" customHeight="1">
      <c r="E186" s="86"/>
      <c r="G186" s="139"/>
      <c r="I186" s="120"/>
      <c r="J186" s="208"/>
    </row>
    <row r="187" spans="5:10" ht="18" customHeight="1">
      <c r="E187" s="86"/>
      <c r="G187" s="139"/>
      <c r="I187" s="120"/>
      <c r="J187" s="208"/>
    </row>
    <row r="188" spans="5:10" ht="18" customHeight="1">
      <c r="E188" s="86"/>
      <c r="G188" s="139"/>
      <c r="I188" s="120"/>
      <c r="J188" s="208"/>
    </row>
    <row r="189" spans="5:10" ht="18" customHeight="1">
      <c r="E189" s="86"/>
      <c r="G189" s="139"/>
      <c r="I189" s="120"/>
      <c r="J189" s="208"/>
    </row>
    <row r="190" spans="5:10" ht="18" customHeight="1">
      <c r="E190" s="86"/>
      <c r="G190" s="139"/>
      <c r="I190" s="120"/>
      <c r="J190" s="208"/>
    </row>
    <row r="191" spans="5:10" ht="18" customHeight="1">
      <c r="E191" s="86"/>
      <c r="G191" s="139"/>
      <c r="I191" s="120"/>
      <c r="J191" s="208"/>
    </row>
    <row r="192" spans="5:10" ht="18" customHeight="1">
      <c r="E192" s="86"/>
      <c r="G192" s="139"/>
      <c r="I192" s="120"/>
      <c r="J192" s="208"/>
    </row>
    <row r="193" spans="5:10" ht="18" customHeight="1">
      <c r="E193" s="86"/>
      <c r="G193" s="139"/>
      <c r="I193" s="120"/>
      <c r="J193" s="208"/>
    </row>
    <row r="194" spans="5:10" ht="18" customHeight="1">
      <c r="E194" s="86"/>
      <c r="G194" s="139"/>
      <c r="I194" s="120"/>
      <c r="J194" s="208"/>
    </row>
    <row r="195" spans="5:10" ht="18" customHeight="1">
      <c r="E195" s="86"/>
      <c r="G195" s="139"/>
      <c r="I195" s="120"/>
      <c r="J195" s="208"/>
    </row>
    <row r="196" spans="5:10" ht="18" customHeight="1">
      <c r="E196" s="86"/>
      <c r="G196" s="139"/>
      <c r="I196" s="120"/>
      <c r="J196" s="208"/>
    </row>
    <row r="197" spans="5:10" ht="18" customHeight="1">
      <c r="E197" s="86"/>
      <c r="G197" s="139"/>
      <c r="I197" s="120"/>
      <c r="J197" s="208"/>
    </row>
    <row r="198" spans="5:10" ht="18" customHeight="1">
      <c r="E198" s="86"/>
      <c r="G198" s="139"/>
      <c r="I198" s="120"/>
      <c r="J198" s="208"/>
    </row>
    <row r="199" spans="5:10" ht="18" customHeight="1">
      <c r="E199" s="86"/>
      <c r="G199" s="139"/>
      <c r="I199" s="120"/>
      <c r="J199" s="208"/>
    </row>
    <row r="200" spans="5:10" ht="18" customHeight="1">
      <c r="E200" s="86"/>
      <c r="G200" s="139"/>
      <c r="I200" s="120"/>
      <c r="J200" s="208"/>
    </row>
    <row r="201" spans="5:10" ht="18" customHeight="1">
      <c r="E201" s="86"/>
      <c r="G201" s="139"/>
      <c r="I201" s="120"/>
      <c r="J201" s="208"/>
    </row>
    <row r="202" spans="5:10" ht="18" customHeight="1">
      <c r="E202" s="86"/>
      <c r="G202" s="139"/>
      <c r="I202" s="120"/>
      <c r="J202" s="208"/>
    </row>
    <row r="203" spans="5:10" ht="18" customHeight="1">
      <c r="E203" s="86"/>
      <c r="G203" s="139"/>
      <c r="I203" s="120"/>
      <c r="J203" s="208"/>
    </row>
    <row r="204" spans="5:10" ht="18" customHeight="1">
      <c r="E204" s="86"/>
      <c r="G204" s="139"/>
      <c r="I204" s="120"/>
      <c r="J204" s="208"/>
    </row>
    <row r="205" spans="5:10" ht="18" customHeight="1">
      <c r="E205" s="86"/>
      <c r="G205" s="139"/>
      <c r="I205" s="120"/>
      <c r="J205" s="208"/>
    </row>
    <row r="206" spans="5:10" ht="18" customHeight="1">
      <c r="E206" s="86"/>
      <c r="G206" s="139"/>
      <c r="I206" s="120"/>
      <c r="J206" s="208"/>
    </row>
    <row r="207" spans="5:10" ht="18" customHeight="1">
      <c r="E207" s="86"/>
      <c r="G207" s="139"/>
      <c r="I207" s="120"/>
      <c r="J207" s="208"/>
    </row>
    <row r="208" spans="5:10" ht="18" customHeight="1">
      <c r="E208" s="86"/>
      <c r="G208" s="139"/>
      <c r="I208" s="120"/>
      <c r="J208" s="208"/>
    </row>
    <row r="209" spans="5:10" ht="18" customHeight="1">
      <c r="E209" s="86"/>
      <c r="G209" s="139"/>
      <c r="I209" s="120"/>
      <c r="J209" s="208"/>
    </row>
    <row r="210" spans="5:10" ht="18" customHeight="1">
      <c r="E210" s="86"/>
      <c r="G210" s="139"/>
      <c r="I210" s="120"/>
      <c r="J210" s="208"/>
    </row>
    <row r="211" spans="5:10" ht="18" customHeight="1">
      <c r="E211" s="86"/>
      <c r="G211" s="139"/>
      <c r="I211" s="120"/>
      <c r="J211" s="208"/>
    </row>
    <row r="212" spans="5:10" ht="18" customHeight="1">
      <c r="E212" s="86"/>
      <c r="G212" s="139"/>
      <c r="I212" s="120"/>
      <c r="J212" s="208"/>
    </row>
    <row r="213" spans="5:10" ht="18" customHeight="1">
      <c r="E213" s="86"/>
      <c r="G213" s="139"/>
      <c r="I213" s="120"/>
      <c r="J213" s="208"/>
    </row>
    <row r="214" spans="5:10" ht="18" customHeight="1">
      <c r="E214" s="86"/>
      <c r="G214" s="139"/>
      <c r="I214" s="120"/>
      <c r="J214" s="208"/>
    </row>
    <row r="215" spans="5:10" ht="18" customHeight="1">
      <c r="E215" s="86"/>
      <c r="G215" s="139"/>
      <c r="I215" s="120"/>
      <c r="J215" s="208"/>
    </row>
    <row r="216" spans="5:10" ht="18" customHeight="1">
      <c r="E216" s="86"/>
      <c r="G216" s="139"/>
      <c r="I216" s="120"/>
      <c r="J216" s="208"/>
    </row>
    <row r="217" spans="5:10" ht="18" customHeight="1">
      <c r="E217" s="86"/>
      <c r="G217" s="139"/>
      <c r="I217" s="120"/>
      <c r="J217" s="208"/>
    </row>
    <row r="218" spans="5:10" ht="18" customHeight="1">
      <c r="E218" s="86"/>
      <c r="G218" s="139"/>
      <c r="I218" s="120"/>
      <c r="J218" s="208"/>
    </row>
    <row r="219" spans="5:10" ht="18" customHeight="1">
      <c r="E219" s="86"/>
      <c r="G219" s="139"/>
      <c r="I219" s="120"/>
      <c r="J219" s="208"/>
    </row>
    <row r="220" spans="5:10" ht="18" customHeight="1">
      <c r="E220" s="86"/>
      <c r="G220" s="139"/>
      <c r="I220" s="120"/>
      <c r="J220" s="208"/>
    </row>
    <row r="221" spans="5:10" ht="18" customHeight="1">
      <c r="E221" s="86"/>
      <c r="G221" s="139"/>
      <c r="I221" s="120"/>
      <c r="J221" s="208"/>
    </row>
    <row r="222" spans="5:10" ht="18" customHeight="1">
      <c r="E222" s="86"/>
      <c r="G222" s="139"/>
      <c r="I222" s="120"/>
      <c r="J222" s="208"/>
    </row>
    <row r="223" spans="5:10" ht="18" customHeight="1">
      <c r="E223" s="86"/>
      <c r="G223" s="139"/>
      <c r="I223" s="120"/>
      <c r="J223" s="208"/>
    </row>
    <row r="224" spans="5:10" ht="18" customHeight="1">
      <c r="E224" s="86"/>
      <c r="G224" s="139"/>
      <c r="I224" s="120"/>
      <c r="J224" s="208"/>
    </row>
    <row r="225" spans="5:10" ht="18" customHeight="1">
      <c r="E225" s="86"/>
      <c r="G225" s="139"/>
      <c r="I225" s="120"/>
      <c r="J225" s="208"/>
    </row>
    <row r="226" spans="5:10" ht="18" customHeight="1">
      <c r="E226" s="86"/>
      <c r="G226" s="139"/>
      <c r="I226" s="120"/>
      <c r="J226" s="208"/>
    </row>
    <row r="227" spans="5:10" ht="18" customHeight="1">
      <c r="E227" s="86"/>
      <c r="G227" s="139"/>
      <c r="I227" s="120"/>
      <c r="J227" s="208"/>
    </row>
    <row r="228" spans="5:10" ht="18" customHeight="1">
      <c r="E228" s="86"/>
      <c r="G228" s="139"/>
      <c r="I228" s="120"/>
      <c r="J228" s="208"/>
    </row>
    <row r="229" spans="5:10" ht="18" customHeight="1">
      <c r="E229" s="86"/>
      <c r="G229" s="139"/>
      <c r="I229" s="120"/>
      <c r="J229" s="208"/>
    </row>
    <row r="230" spans="5:10" ht="18" customHeight="1">
      <c r="E230" s="86"/>
      <c r="G230" s="139"/>
      <c r="I230" s="120"/>
      <c r="J230" s="208"/>
    </row>
    <row r="231" spans="5:10" ht="18" customHeight="1">
      <c r="E231" s="86"/>
      <c r="G231" s="139"/>
      <c r="I231" s="120"/>
      <c r="J231" s="208"/>
    </row>
    <row r="232" spans="5:10" ht="18" customHeight="1">
      <c r="E232" s="86"/>
      <c r="G232" s="139"/>
      <c r="I232" s="120"/>
      <c r="J232" s="208"/>
    </row>
    <row r="233" spans="5:10" ht="18" customHeight="1">
      <c r="E233" s="86"/>
      <c r="G233" s="139"/>
      <c r="I233" s="120"/>
      <c r="J233" s="208"/>
    </row>
    <row r="234" spans="5:10" ht="18" customHeight="1">
      <c r="E234" s="86"/>
      <c r="G234" s="139"/>
      <c r="I234" s="120"/>
      <c r="J234" s="208"/>
    </row>
    <row r="235" spans="5:10" ht="18" customHeight="1">
      <c r="E235" s="86"/>
      <c r="G235" s="139"/>
      <c r="I235" s="120"/>
      <c r="J235" s="208"/>
    </row>
    <row r="236" spans="5:10" ht="18" customHeight="1">
      <c r="E236" s="86"/>
      <c r="G236" s="139"/>
      <c r="I236" s="120"/>
      <c r="J236" s="208"/>
    </row>
    <row r="237" spans="5:10" ht="18" customHeight="1">
      <c r="E237" s="86"/>
      <c r="G237" s="139"/>
      <c r="I237" s="120"/>
      <c r="J237" s="208"/>
    </row>
    <row r="238" spans="5:10" ht="18" customHeight="1">
      <c r="E238" s="86"/>
      <c r="G238" s="139"/>
      <c r="I238" s="120"/>
      <c r="J238" s="208"/>
    </row>
    <row r="239" spans="5:10" ht="18" customHeight="1">
      <c r="E239" s="86"/>
      <c r="G239" s="139"/>
      <c r="I239" s="120"/>
      <c r="J239" s="208"/>
    </row>
    <row r="240" spans="5:10" ht="18" customHeight="1">
      <c r="E240" s="86"/>
      <c r="G240" s="139"/>
      <c r="I240" s="120"/>
      <c r="J240" s="208"/>
    </row>
    <row r="241" spans="5:10" ht="18" customHeight="1">
      <c r="E241" s="86"/>
      <c r="G241" s="139"/>
      <c r="I241" s="120"/>
      <c r="J241" s="208"/>
    </row>
    <row r="242" spans="5:10" ht="18" customHeight="1">
      <c r="E242" s="86"/>
      <c r="G242" s="139"/>
      <c r="I242" s="120"/>
      <c r="J242" s="208"/>
    </row>
    <row r="243" spans="5:10" ht="18" customHeight="1">
      <c r="E243" s="86"/>
      <c r="G243" s="139"/>
      <c r="I243" s="120"/>
      <c r="J243" s="208"/>
    </row>
    <row r="244" spans="5:10" ht="18" customHeight="1">
      <c r="E244" s="86"/>
      <c r="G244" s="139"/>
      <c r="I244" s="120"/>
      <c r="J244" s="208"/>
    </row>
    <row r="245" spans="5:10" ht="18" customHeight="1">
      <c r="E245" s="86"/>
      <c r="G245" s="139"/>
      <c r="I245" s="120"/>
      <c r="J245" s="208"/>
    </row>
    <row r="246" spans="5:10" ht="18" customHeight="1">
      <c r="E246" s="86"/>
      <c r="G246" s="139"/>
      <c r="I246" s="120"/>
      <c r="J246" s="208"/>
    </row>
    <row r="247" spans="5:10" ht="18" customHeight="1">
      <c r="E247" s="86"/>
      <c r="G247" s="139"/>
      <c r="I247" s="120"/>
      <c r="J247" s="208"/>
    </row>
    <row r="248" spans="5:10" ht="18" customHeight="1">
      <c r="E248" s="86"/>
      <c r="G248" s="139"/>
      <c r="I248" s="120"/>
      <c r="J248" s="208"/>
    </row>
    <row r="249" spans="5:10" ht="18" customHeight="1">
      <c r="E249" s="86"/>
      <c r="G249" s="139"/>
      <c r="I249" s="120"/>
      <c r="J249" s="208"/>
    </row>
    <row r="250" spans="5:10" ht="18" customHeight="1">
      <c r="E250" s="86"/>
      <c r="G250" s="139"/>
      <c r="I250" s="120"/>
      <c r="J250" s="208"/>
    </row>
    <row r="251" spans="5:10" ht="18" customHeight="1">
      <c r="E251" s="86"/>
      <c r="G251" s="139"/>
      <c r="I251" s="120"/>
      <c r="J251" s="208"/>
    </row>
    <row r="252" spans="5:10" ht="18" customHeight="1">
      <c r="E252" s="86"/>
      <c r="G252" s="139"/>
      <c r="I252" s="120"/>
      <c r="J252" s="208"/>
    </row>
    <row r="253" spans="5:10" ht="18" customHeight="1">
      <c r="E253" s="86"/>
      <c r="G253" s="139"/>
      <c r="I253" s="120"/>
      <c r="J253" s="208"/>
    </row>
    <row r="254" spans="5:10" ht="18" customHeight="1">
      <c r="E254" s="86"/>
      <c r="G254" s="139"/>
      <c r="I254" s="120"/>
      <c r="J254" s="208"/>
    </row>
    <row r="255" spans="5:10" ht="18" customHeight="1">
      <c r="E255" s="86"/>
      <c r="G255" s="139"/>
      <c r="I255" s="120"/>
      <c r="J255" s="208"/>
    </row>
    <row r="256" spans="5:10" ht="18" customHeight="1">
      <c r="E256" s="86"/>
      <c r="G256" s="139"/>
      <c r="I256" s="120"/>
      <c r="J256" s="208"/>
    </row>
    <row r="257" spans="5:10" ht="18" customHeight="1">
      <c r="E257" s="86"/>
      <c r="G257" s="139"/>
      <c r="I257" s="120"/>
      <c r="J257" s="208"/>
    </row>
    <row r="258" spans="5:10" ht="18" customHeight="1">
      <c r="E258" s="86"/>
      <c r="G258" s="139"/>
      <c r="I258" s="120"/>
      <c r="J258" s="208"/>
    </row>
    <row r="259" spans="5:10" ht="18" customHeight="1">
      <c r="E259" s="86"/>
      <c r="G259" s="139"/>
      <c r="I259" s="120"/>
      <c r="J259" s="208"/>
    </row>
    <row r="260" spans="5:10" ht="18" customHeight="1">
      <c r="E260" s="86"/>
      <c r="G260" s="139"/>
      <c r="I260" s="120"/>
      <c r="J260" s="208"/>
    </row>
    <row r="261" spans="5:10" ht="18" customHeight="1">
      <c r="E261" s="86"/>
      <c r="G261" s="139"/>
      <c r="I261" s="120"/>
      <c r="J261" s="208"/>
    </row>
    <row r="262" spans="5:10" ht="18" customHeight="1">
      <c r="E262" s="86"/>
      <c r="G262" s="139"/>
      <c r="I262" s="120"/>
      <c r="J262" s="208"/>
    </row>
    <row r="263" spans="5:10" ht="18" customHeight="1">
      <c r="E263" s="86"/>
      <c r="G263" s="139"/>
      <c r="I263" s="120"/>
      <c r="J263" s="208"/>
    </row>
    <row r="264" spans="5:10" ht="18" customHeight="1">
      <c r="E264" s="86"/>
      <c r="G264" s="139"/>
      <c r="I264" s="120"/>
      <c r="J264" s="208"/>
    </row>
    <row r="265" spans="5:10" ht="18" customHeight="1">
      <c r="E265" s="86"/>
      <c r="G265" s="139"/>
      <c r="I265" s="120"/>
      <c r="J265" s="208"/>
    </row>
    <row r="266" spans="5:10" ht="18" customHeight="1">
      <c r="E266" s="86"/>
      <c r="G266" s="139"/>
      <c r="I266" s="120"/>
      <c r="J266" s="208"/>
    </row>
    <row r="267" spans="5:10" ht="18" customHeight="1">
      <c r="E267" s="86"/>
      <c r="G267" s="139"/>
      <c r="I267" s="120"/>
      <c r="J267" s="208"/>
    </row>
    <row r="268" spans="5:10" ht="18" customHeight="1">
      <c r="E268" s="86"/>
      <c r="G268" s="139"/>
      <c r="I268" s="120"/>
      <c r="J268" s="208"/>
    </row>
    <row r="269" spans="5:10" ht="18" customHeight="1">
      <c r="E269" s="86"/>
      <c r="G269" s="139"/>
      <c r="I269" s="120"/>
      <c r="J269" s="208"/>
    </row>
    <row r="270" spans="5:10" ht="18" customHeight="1">
      <c r="E270" s="86"/>
      <c r="G270" s="139"/>
      <c r="I270" s="120"/>
      <c r="J270" s="208"/>
    </row>
    <row r="271" spans="5:10" ht="18" customHeight="1">
      <c r="E271" s="86"/>
      <c r="G271" s="139"/>
      <c r="I271" s="120"/>
      <c r="J271" s="208"/>
    </row>
    <row r="272" spans="5:10" ht="18" customHeight="1">
      <c r="E272" s="86"/>
      <c r="G272" s="139"/>
      <c r="I272" s="120"/>
      <c r="J272" s="208"/>
    </row>
    <row r="273" spans="5:10" ht="18" customHeight="1">
      <c r="E273" s="86"/>
      <c r="G273" s="139"/>
      <c r="I273" s="120"/>
      <c r="J273" s="208"/>
    </row>
    <row r="274" spans="5:10" ht="18" customHeight="1">
      <c r="E274" s="86"/>
      <c r="G274" s="139"/>
      <c r="I274" s="120"/>
      <c r="J274" s="208"/>
    </row>
    <row r="275" spans="5:10" ht="18" customHeight="1">
      <c r="E275" s="86"/>
      <c r="G275" s="139"/>
      <c r="I275" s="120"/>
      <c r="J275" s="208"/>
    </row>
    <row r="276" spans="5:10" ht="18" customHeight="1">
      <c r="E276" s="86"/>
      <c r="G276" s="139"/>
      <c r="I276" s="120"/>
      <c r="J276" s="208"/>
    </row>
    <row r="277" spans="5:10" ht="18" customHeight="1">
      <c r="E277" s="86"/>
      <c r="G277" s="139"/>
      <c r="I277" s="120"/>
      <c r="J277" s="208"/>
    </row>
    <row r="278" spans="5:10" ht="18" customHeight="1">
      <c r="E278" s="86"/>
      <c r="G278" s="139"/>
      <c r="I278" s="120"/>
      <c r="J278" s="208"/>
    </row>
    <row r="279" spans="5:10" ht="18" customHeight="1">
      <c r="E279" s="86"/>
      <c r="G279" s="139"/>
      <c r="I279" s="120"/>
      <c r="J279" s="208"/>
    </row>
    <row r="280" spans="5:10" ht="18" customHeight="1">
      <c r="E280" s="86"/>
      <c r="G280" s="139"/>
      <c r="I280" s="120"/>
      <c r="J280" s="208"/>
    </row>
    <row r="281" spans="5:10" ht="18" customHeight="1">
      <c r="E281" s="86"/>
      <c r="G281" s="139"/>
      <c r="I281" s="120"/>
      <c r="J281" s="208"/>
    </row>
    <row r="282" spans="5:10" ht="18" customHeight="1">
      <c r="E282" s="86"/>
      <c r="G282" s="139"/>
      <c r="I282" s="120"/>
      <c r="J282" s="208"/>
    </row>
    <row r="283" spans="5:10" ht="18" customHeight="1">
      <c r="E283" s="86"/>
      <c r="G283" s="139"/>
      <c r="I283" s="120"/>
      <c r="J283" s="208"/>
    </row>
    <row r="284" spans="5:10" ht="18" customHeight="1">
      <c r="E284" s="86"/>
      <c r="G284" s="139"/>
      <c r="I284" s="120"/>
      <c r="J284" s="208"/>
    </row>
    <row r="285" spans="5:10" ht="18" customHeight="1">
      <c r="E285" s="86"/>
      <c r="G285" s="139"/>
      <c r="I285" s="120"/>
      <c r="J285" s="208"/>
    </row>
    <row r="286" spans="5:10" ht="18" customHeight="1">
      <c r="E286" s="86"/>
      <c r="G286" s="139"/>
      <c r="I286" s="120"/>
      <c r="J286" s="208"/>
    </row>
    <row r="287" spans="5:10" ht="18" customHeight="1">
      <c r="E287" s="86"/>
      <c r="G287" s="139"/>
      <c r="I287" s="120"/>
      <c r="J287" s="208"/>
    </row>
    <row r="288" spans="5:10" ht="18" customHeight="1">
      <c r="E288" s="86"/>
      <c r="G288" s="139"/>
      <c r="I288" s="120"/>
      <c r="J288" s="208"/>
    </row>
    <row r="289" spans="5:10" ht="18" customHeight="1">
      <c r="E289" s="86"/>
      <c r="G289" s="139"/>
      <c r="I289" s="120"/>
      <c r="J289" s="208"/>
    </row>
    <row r="290" spans="5:10" ht="18" customHeight="1">
      <c r="E290" s="86"/>
      <c r="G290" s="139"/>
      <c r="I290" s="120"/>
      <c r="J290" s="208"/>
    </row>
    <row r="291" spans="5:10" ht="18" customHeight="1">
      <c r="E291" s="86"/>
      <c r="G291" s="139"/>
      <c r="I291" s="120"/>
      <c r="J291" s="208"/>
    </row>
    <row r="292" spans="5:10" ht="18" customHeight="1">
      <c r="E292" s="86"/>
      <c r="G292" s="139"/>
      <c r="I292" s="120"/>
      <c r="J292" s="208"/>
    </row>
    <row r="293" spans="5:10" ht="18" customHeight="1">
      <c r="E293" s="86"/>
      <c r="G293" s="139"/>
      <c r="I293" s="120"/>
      <c r="J293" s="208"/>
    </row>
    <row r="294" spans="5:10" ht="18" customHeight="1">
      <c r="E294" s="86"/>
      <c r="G294" s="139"/>
      <c r="I294" s="120"/>
      <c r="J294" s="208"/>
    </row>
    <row r="295" spans="5:10" ht="18" customHeight="1">
      <c r="E295" s="86"/>
      <c r="G295" s="139"/>
      <c r="I295" s="120"/>
      <c r="J295" s="208"/>
    </row>
    <row r="296" spans="5:10" ht="18" customHeight="1">
      <c r="E296" s="86"/>
      <c r="G296" s="139"/>
      <c r="I296" s="120"/>
      <c r="J296" s="208"/>
    </row>
    <row r="297" spans="5:10" ht="18" customHeight="1">
      <c r="E297" s="86"/>
      <c r="G297" s="139"/>
      <c r="I297" s="120"/>
      <c r="J297" s="208"/>
    </row>
    <row r="298" spans="5:10" ht="18" customHeight="1">
      <c r="E298" s="86"/>
      <c r="G298" s="139"/>
      <c r="I298" s="120"/>
      <c r="J298" s="208"/>
    </row>
    <row r="299" spans="5:10" ht="18" customHeight="1">
      <c r="E299" s="86"/>
      <c r="G299" s="139"/>
      <c r="I299" s="120"/>
      <c r="J299" s="208"/>
    </row>
    <row r="300" spans="5:10" ht="18" customHeight="1">
      <c r="E300" s="86"/>
      <c r="G300" s="139"/>
      <c r="I300" s="120"/>
      <c r="J300" s="208"/>
    </row>
    <row r="301" spans="5:10" ht="18" customHeight="1">
      <c r="E301" s="86"/>
      <c r="G301" s="139"/>
      <c r="I301" s="120"/>
      <c r="J301" s="208"/>
    </row>
    <row r="302" spans="5:10" ht="18" customHeight="1">
      <c r="E302" s="86"/>
      <c r="G302" s="139"/>
      <c r="I302" s="120"/>
      <c r="J302" s="208"/>
    </row>
    <row r="303" spans="5:10" ht="18" customHeight="1">
      <c r="E303" s="86"/>
      <c r="G303" s="139"/>
      <c r="I303" s="120"/>
      <c r="J303" s="208"/>
    </row>
    <row r="304" spans="5:10" ht="18" customHeight="1">
      <c r="E304" s="86"/>
      <c r="G304" s="139"/>
      <c r="I304" s="120"/>
      <c r="J304" s="208"/>
    </row>
    <row r="305" spans="5:10" ht="18" customHeight="1">
      <c r="E305" s="86"/>
      <c r="G305" s="139"/>
      <c r="I305" s="120"/>
      <c r="J305" s="208"/>
    </row>
    <row r="306" spans="5:10" ht="18" customHeight="1">
      <c r="E306" s="86"/>
      <c r="G306" s="139"/>
      <c r="I306" s="120"/>
      <c r="J306" s="208"/>
    </row>
    <row r="307" spans="5:10" ht="18" customHeight="1">
      <c r="E307" s="86"/>
      <c r="G307" s="139"/>
      <c r="I307" s="120"/>
      <c r="J307" s="208"/>
    </row>
    <row r="308" spans="5:10" ht="18" customHeight="1">
      <c r="E308" s="86"/>
      <c r="G308" s="139"/>
      <c r="I308" s="120"/>
      <c r="J308" s="208"/>
    </row>
    <row r="309" spans="5:10" ht="18" customHeight="1">
      <c r="E309" s="86"/>
      <c r="G309" s="139"/>
      <c r="I309" s="120"/>
      <c r="J309" s="208"/>
    </row>
    <row r="310" spans="5:10" ht="18" customHeight="1">
      <c r="E310" s="86"/>
      <c r="G310" s="139"/>
      <c r="I310" s="120"/>
      <c r="J310" s="208"/>
    </row>
    <row r="311" spans="5:10" ht="18" customHeight="1">
      <c r="E311" s="86"/>
      <c r="G311" s="139"/>
      <c r="I311" s="120"/>
      <c r="J311" s="208"/>
    </row>
    <row r="312" spans="5:10" ht="18" customHeight="1">
      <c r="E312" s="86"/>
      <c r="G312" s="139"/>
      <c r="I312" s="120"/>
      <c r="J312" s="208"/>
    </row>
    <row r="313" spans="5:10" ht="18" customHeight="1">
      <c r="E313" s="86"/>
      <c r="G313" s="139"/>
      <c r="I313" s="120"/>
      <c r="J313" s="208"/>
    </row>
    <row r="314" spans="5:10" ht="18" customHeight="1">
      <c r="E314" s="86"/>
      <c r="G314" s="139"/>
      <c r="I314" s="120"/>
      <c r="J314" s="208"/>
    </row>
    <row r="315" spans="5:10" ht="18" customHeight="1">
      <c r="E315" s="86"/>
      <c r="G315" s="139"/>
      <c r="I315" s="120"/>
      <c r="J315" s="208"/>
    </row>
    <row r="316" spans="5:10" ht="18" customHeight="1">
      <c r="E316" s="86"/>
      <c r="G316" s="139"/>
      <c r="I316" s="120"/>
      <c r="J316" s="208"/>
    </row>
    <row r="317" spans="5:10" ht="18" customHeight="1">
      <c r="E317" s="86"/>
      <c r="G317" s="139"/>
      <c r="I317" s="120"/>
      <c r="J317" s="208"/>
    </row>
    <row r="318" spans="5:10" ht="18" customHeight="1">
      <c r="E318" s="86"/>
      <c r="G318" s="139"/>
      <c r="I318" s="120"/>
      <c r="J318" s="208"/>
    </row>
    <row r="319" spans="5:10" ht="15.75" customHeight="1">
      <c r="I319" s="120"/>
      <c r="J319" s="211"/>
    </row>
    <row r="320" spans="5:10" ht="15.75" customHeight="1">
      <c r="I320" s="120"/>
      <c r="J320" s="211"/>
    </row>
    <row r="321" spans="9:10" ht="15.75" customHeight="1">
      <c r="I321" s="120"/>
      <c r="J321" s="211"/>
    </row>
    <row r="322" spans="9:10" ht="15.75" customHeight="1">
      <c r="I322" s="120"/>
      <c r="J322" s="211"/>
    </row>
    <row r="323" spans="9:10" ht="15.75" customHeight="1">
      <c r="I323" s="120"/>
      <c r="J323" s="211"/>
    </row>
    <row r="324" spans="9:10" ht="15.75" customHeight="1">
      <c r="I324" s="120"/>
      <c r="J324" s="211"/>
    </row>
    <row r="325" spans="9:10" ht="15.75" customHeight="1">
      <c r="I325" s="120"/>
      <c r="J325" s="211"/>
    </row>
    <row r="326" spans="9:10" ht="15.75" customHeight="1">
      <c r="I326" s="120"/>
      <c r="J326" s="211"/>
    </row>
    <row r="327" spans="9:10" ht="15.75" customHeight="1">
      <c r="I327" s="120"/>
      <c r="J327" s="211"/>
    </row>
    <row r="328" spans="9:10" ht="15.75" customHeight="1">
      <c r="I328" s="120"/>
      <c r="J328" s="211"/>
    </row>
    <row r="329" spans="9:10" ht="15.75" customHeight="1">
      <c r="I329" s="120"/>
      <c r="J329" s="211"/>
    </row>
    <row r="330" spans="9:10" ht="15.75" customHeight="1">
      <c r="I330" s="120"/>
      <c r="J330" s="211"/>
    </row>
    <row r="331" spans="9:10" ht="15.75" customHeight="1">
      <c r="I331" s="120"/>
      <c r="J331" s="211"/>
    </row>
    <row r="332" spans="9:10" ht="15.75" customHeight="1">
      <c r="I332" s="120"/>
      <c r="J332" s="211"/>
    </row>
    <row r="333" spans="9:10" ht="15.75" customHeight="1">
      <c r="I333" s="120"/>
      <c r="J333" s="211"/>
    </row>
    <row r="334" spans="9:10" ht="15.75" customHeight="1">
      <c r="I334" s="120"/>
      <c r="J334" s="211"/>
    </row>
    <row r="335" spans="9:10" ht="15.75" customHeight="1">
      <c r="I335" s="120"/>
      <c r="J335" s="211"/>
    </row>
    <row r="336" spans="9:10" ht="15.75" customHeight="1">
      <c r="I336" s="120"/>
      <c r="J336" s="211"/>
    </row>
    <row r="337" spans="9:10" ht="15.75" customHeight="1">
      <c r="I337" s="120"/>
      <c r="J337" s="211"/>
    </row>
    <row r="338" spans="9:10" ht="15.75" customHeight="1">
      <c r="I338" s="120"/>
      <c r="J338" s="211"/>
    </row>
    <row r="339" spans="9:10" ht="15.75" customHeight="1">
      <c r="I339" s="120"/>
      <c r="J339" s="211"/>
    </row>
    <row r="340" spans="9:10" ht="15.75" customHeight="1">
      <c r="I340" s="120"/>
      <c r="J340" s="211"/>
    </row>
    <row r="341" spans="9:10" ht="15.75" customHeight="1">
      <c r="I341" s="120"/>
      <c r="J341" s="211"/>
    </row>
    <row r="342" spans="9:10" ht="15.75" customHeight="1">
      <c r="I342" s="120"/>
      <c r="J342" s="211"/>
    </row>
    <row r="343" spans="9:10" ht="15.75" customHeight="1">
      <c r="I343" s="120"/>
      <c r="J343" s="211"/>
    </row>
    <row r="344" spans="9:10" ht="15.75" customHeight="1">
      <c r="I344" s="120"/>
      <c r="J344" s="211"/>
    </row>
    <row r="345" spans="9:10" ht="15.75" customHeight="1">
      <c r="I345" s="120"/>
      <c r="J345" s="211"/>
    </row>
    <row r="346" spans="9:10" ht="15.75" customHeight="1">
      <c r="I346" s="120"/>
      <c r="J346" s="211"/>
    </row>
    <row r="347" spans="9:10" ht="15.75" customHeight="1">
      <c r="I347" s="120"/>
      <c r="J347" s="211"/>
    </row>
    <row r="348" spans="9:10" ht="15.75" customHeight="1">
      <c r="I348" s="120"/>
      <c r="J348" s="211"/>
    </row>
    <row r="349" spans="9:10" ht="15.75" customHeight="1">
      <c r="I349" s="120"/>
      <c r="J349" s="211"/>
    </row>
    <row r="350" spans="9:10" ht="15.75" customHeight="1">
      <c r="I350" s="120"/>
      <c r="J350" s="211"/>
    </row>
    <row r="351" spans="9:10" ht="15.75" customHeight="1">
      <c r="I351" s="120"/>
      <c r="J351" s="211"/>
    </row>
    <row r="352" spans="9:10" ht="15.75" customHeight="1">
      <c r="I352" s="120"/>
      <c r="J352" s="211"/>
    </row>
    <row r="353" spans="9:10" ht="15.75" customHeight="1">
      <c r="I353" s="120"/>
      <c r="J353" s="211"/>
    </row>
    <row r="354" spans="9:10" ht="15.75" customHeight="1">
      <c r="I354" s="120"/>
      <c r="J354" s="211"/>
    </row>
    <row r="355" spans="9:10" ht="15.75" customHeight="1">
      <c r="I355" s="120"/>
      <c r="J355" s="211"/>
    </row>
    <row r="356" spans="9:10" ht="15.75" customHeight="1">
      <c r="I356" s="120"/>
      <c r="J356" s="211"/>
    </row>
    <row r="357" spans="9:10" ht="15.75" customHeight="1">
      <c r="I357" s="120"/>
      <c r="J357" s="211"/>
    </row>
    <row r="358" spans="9:10" ht="15.75" customHeight="1">
      <c r="I358" s="120"/>
      <c r="J358" s="211"/>
    </row>
    <row r="359" spans="9:10" ht="15.75" customHeight="1">
      <c r="I359" s="120"/>
      <c r="J359" s="211"/>
    </row>
    <row r="360" spans="9:10" ht="15.75" customHeight="1">
      <c r="I360" s="120"/>
      <c r="J360" s="211"/>
    </row>
    <row r="361" spans="9:10" ht="15.75" customHeight="1">
      <c r="I361" s="120"/>
      <c r="J361" s="211"/>
    </row>
    <row r="362" spans="9:10" ht="15.75" customHeight="1">
      <c r="I362" s="120"/>
      <c r="J362" s="211"/>
    </row>
    <row r="363" spans="9:10" ht="15.75" customHeight="1">
      <c r="I363" s="120"/>
      <c r="J363" s="211"/>
    </row>
    <row r="364" spans="9:10" ht="15.75" customHeight="1">
      <c r="I364" s="120"/>
      <c r="J364" s="211"/>
    </row>
    <row r="365" spans="9:10" ht="15.75" customHeight="1">
      <c r="I365" s="120"/>
      <c r="J365" s="211"/>
    </row>
    <row r="366" spans="9:10" ht="15.75" customHeight="1">
      <c r="I366" s="120"/>
      <c r="J366" s="211"/>
    </row>
    <row r="367" spans="9:10" ht="15.75" customHeight="1">
      <c r="I367" s="120"/>
      <c r="J367" s="211"/>
    </row>
    <row r="368" spans="9:10" ht="15.75" customHeight="1">
      <c r="I368" s="120"/>
      <c r="J368" s="211"/>
    </row>
    <row r="369" spans="9:10" ht="15.75" customHeight="1">
      <c r="I369" s="120"/>
      <c r="J369" s="211"/>
    </row>
    <row r="370" spans="9:10" ht="15.75" customHeight="1">
      <c r="I370" s="120"/>
      <c r="J370" s="211"/>
    </row>
    <row r="371" spans="9:10" ht="15.75" customHeight="1">
      <c r="I371" s="120"/>
      <c r="J371" s="211"/>
    </row>
    <row r="372" spans="9:10" ht="15.75" customHeight="1">
      <c r="I372" s="120"/>
      <c r="J372" s="211"/>
    </row>
    <row r="373" spans="9:10" ht="15.75" customHeight="1">
      <c r="I373" s="120"/>
      <c r="J373" s="211"/>
    </row>
    <row r="374" spans="9:10" ht="15.75" customHeight="1">
      <c r="I374" s="120"/>
      <c r="J374" s="211"/>
    </row>
    <row r="375" spans="9:10" ht="15.75" customHeight="1">
      <c r="I375" s="120"/>
      <c r="J375" s="211"/>
    </row>
    <row r="376" spans="9:10" ht="15.75" customHeight="1">
      <c r="I376" s="120"/>
      <c r="J376" s="211"/>
    </row>
    <row r="377" spans="9:10" ht="15.75" customHeight="1">
      <c r="I377" s="120"/>
      <c r="J377" s="211"/>
    </row>
    <row r="378" spans="9:10" ht="15.75" customHeight="1">
      <c r="I378" s="120"/>
      <c r="J378" s="211"/>
    </row>
    <row r="379" spans="9:10" ht="15.75" customHeight="1">
      <c r="I379" s="120"/>
      <c r="J379" s="211"/>
    </row>
    <row r="380" spans="9:10" ht="15.75" customHeight="1">
      <c r="I380" s="120"/>
      <c r="J380" s="211"/>
    </row>
    <row r="381" spans="9:10" ht="15.75" customHeight="1">
      <c r="I381" s="120"/>
      <c r="J381" s="211"/>
    </row>
    <row r="382" spans="9:10" ht="15.75" customHeight="1">
      <c r="I382" s="120"/>
      <c r="J382" s="211"/>
    </row>
    <row r="383" spans="9:10" ht="15.75" customHeight="1">
      <c r="I383" s="120"/>
      <c r="J383" s="211"/>
    </row>
    <row r="384" spans="9:10" ht="15.75" customHeight="1">
      <c r="I384" s="120"/>
      <c r="J384" s="211"/>
    </row>
    <row r="385" spans="9:10" ht="15.75" customHeight="1">
      <c r="I385" s="120"/>
      <c r="J385" s="211"/>
    </row>
    <row r="386" spans="9:10" ht="15.75" customHeight="1">
      <c r="I386" s="120"/>
      <c r="J386" s="211"/>
    </row>
    <row r="387" spans="9:10" ht="15.75" customHeight="1">
      <c r="I387" s="120"/>
      <c r="J387" s="211"/>
    </row>
    <row r="388" spans="9:10" ht="15.75" customHeight="1">
      <c r="I388" s="120"/>
      <c r="J388" s="211"/>
    </row>
    <row r="389" spans="9:10" ht="15.75" customHeight="1">
      <c r="I389" s="120"/>
      <c r="J389" s="211"/>
    </row>
    <row r="390" spans="9:10" ht="15.75" customHeight="1">
      <c r="I390" s="120"/>
      <c r="J390" s="211"/>
    </row>
    <row r="391" spans="9:10" ht="15.75" customHeight="1">
      <c r="I391" s="120"/>
      <c r="J391" s="211"/>
    </row>
    <row r="392" spans="9:10" ht="15.75" customHeight="1">
      <c r="I392" s="120"/>
      <c r="J392" s="211"/>
    </row>
    <row r="393" spans="9:10" ht="15.75" customHeight="1">
      <c r="I393" s="120"/>
      <c r="J393" s="211"/>
    </row>
    <row r="394" spans="9:10" ht="15.75" customHeight="1">
      <c r="I394" s="120"/>
      <c r="J394" s="211"/>
    </row>
    <row r="395" spans="9:10" ht="15.75" customHeight="1">
      <c r="I395" s="120"/>
      <c r="J395" s="211"/>
    </row>
    <row r="396" spans="9:10" ht="15.75" customHeight="1">
      <c r="I396" s="120"/>
      <c r="J396" s="211"/>
    </row>
    <row r="397" spans="9:10" ht="15.75" customHeight="1">
      <c r="I397" s="120"/>
      <c r="J397" s="211"/>
    </row>
    <row r="398" spans="9:10" ht="15.75" customHeight="1">
      <c r="I398" s="120"/>
      <c r="J398" s="211"/>
    </row>
    <row r="399" spans="9:10" ht="15.75" customHeight="1">
      <c r="I399" s="120"/>
      <c r="J399" s="211"/>
    </row>
    <row r="400" spans="9:10" ht="15.75" customHeight="1">
      <c r="I400" s="120"/>
      <c r="J400" s="211"/>
    </row>
    <row r="401" spans="9:10" ht="15.75" customHeight="1">
      <c r="I401" s="120"/>
      <c r="J401" s="211"/>
    </row>
    <row r="402" spans="9:10" ht="15.75" customHeight="1">
      <c r="I402" s="120"/>
      <c r="J402" s="211"/>
    </row>
    <row r="403" spans="9:10" ht="15.75" customHeight="1">
      <c r="I403" s="120"/>
      <c r="J403" s="211"/>
    </row>
    <row r="404" spans="9:10" ht="15.75" customHeight="1">
      <c r="I404" s="120"/>
      <c r="J404" s="211"/>
    </row>
    <row r="405" spans="9:10" ht="15.75" customHeight="1">
      <c r="I405" s="120"/>
      <c r="J405" s="211"/>
    </row>
    <row r="406" spans="9:10" ht="15.75" customHeight="1">
      <c r="I406" s="120"/>
      <c r="J406" s="211"/>
    </row>
    <row r="407" spans="9:10" ht="15.75" customHeight="1">
      <c r="I407" s="120"/>
      <c r="J407" s="211"/>
    </row>
    <row r="408" spans="9:10" ht="15.75" customHeight="1">
      <c r="I408" s="120"/>
      <c r="J408" s="211"/>
    </row>
    <row r="409" spans="9:10" ht="15.75" customHeight="1">
      <c r="I409" s="120"/>
      <c r="J409" s="211"/>
    </row>
    <row r="410" spans="9:10" ht="15.75" customHeight="1">
      <c r="I410" s="120"/>
      <c r="J410" s="211"/>
    </row>
    <row r="411" spans="9:10" ht="15.75" customHeight="1">
      <c r="I411" s="120"/>
      <c r="J411" s="211"/>
    </row>
    <row r="412" spans="9:10" ht="15.75" customHeight="1">
      <c r="I412" s="120"/>
      <c r="J412" s="211"/>
    </row>
    <row r="413" spans="9:10" ht="15.75" customHeight="1">
      <c r="I413" s="120"/>
      <c r="J413" s="211"/>
    </row>
    <row r="414" spans="9:10" ht="15.75" customHeight="1">
      <c r="I414" s="120"/>
      <c r="J414" s="211"/>
    </row>
    <row r="415" spans="9:10" ht="15.75" customHeight="1">
      <c r="I415" s="120"/>
      <c r="J415" s="211"/>
    </row>
    <row r="416" spans="9:10" ht="15.75" customHeight="1">
      <c r="I416" s="120"/>
      <c r="J416" s="211"/>
    </row>
    <row r="417" spans="9:10" ht="15.75" customHeight="1">
      <c r="I417" s="120"/>
      <c r="J417" s="211"/>
    </row>
    <row r="418" spans="9:10" ht="15.75" customHeight="1">
      <c r="I418" s="120"/>
      <c r="J418" s="211"/>
    </row>
    <row r="419" spans="9:10" ht="15.75" customHeight="1">
      <c r="I419" s="120"/>
      <c r="J419" s="211"/>
    </row>
    <row r="420" spans="9:10" ht="15.75" customHeight="1">
      <c r="I420" s="120"/>
      <c r="J420" s="211"/>
    </row>
    <row r="421" spans="9:10" ht="15.75" customHeight="1">
      <c r="I421" s="120"/>
      <c r="J421" s="211"/>
    </row>
    <row r="422" spans="9:10" ht="15.75" customHeight="1">
      <c r="I422" s="120"/>
      <c r="J422" s="211"/>
    </row>
    <row r="423" spans="9:10" ht="15.75" customHeight="1">
      <c r="I423" s="120"/>
      <c r="J423" s="211"/>
    </row>
    <row r="424" spans="9:10" ht="15.75" customHeight="1">
      <c r="I424" s="120"/>
      <c r="J424" s="211"/>
    </row>
    <row r="425" spans="9:10" ht="15.75" customHeight="1">
      <c r="I425" s="120"/>
      <c r="J425" s="211"/>
    </row>
    <row r="426" spans="9:10" ht="15.75" customHeight="1">
      <c r="I426" s="120"/>
      <c r="J426" s="211"/>
    </row>
    <row r="427" spans="9:10" ht="15.75" customHeight="1">
      <c r="I427" s="120"/>
      <c r="J427" s="211"/>
    </row>
    <row r="428" spans="9:10" ht="15.75" customHeight="1">
      <c r="I428" s="120"/>
      <c r="J428" s="211"/>
    </row>
    <row r="429" spans="9:10" ht="15.75" customHeight="1">
      <c r="I429" s="120"/>
      <c r="J429" s="211"/>
    </row>
    <row r="430" spans="9:10" ht="15.75" customHeight="1">
      <c r="I430" s="120"/>
      <c r="J430" s="211"/>
    </row>
    <row r="431" spans="9:10" ht="15.75" customHeight="1">
      <c r="I431" s="120"/>
      <c r="J431" s="211"/>
    </row>
    <row r="432" spans="9:10" ht="15.75" customHeight="1">
      <c r="I432" s="120"/>
      <c r="J432" s="211"/>
    </row>
    <row r="433" spans="9:10" ht="15.75" customHeight="1">
      <c r="I433" s="120"/>
      <c r="J433" s="211"/>
    </row>
    <row r="434" spans="9:10" ht="15.75" customHeight="1">
      <c r="I434" s="120"/>
      <c r="J434" s="211"/>
    </row>
    <row r="435" spans="9:10" ht="15.75" customHeight="1">
      <c r="I435" s="120"/>
      <c r="J435" s="211"/>
    </row>
    <row r="436" spans="9:10" ht="15.75" customHeight="1">
      <c r="I436" s="120"/>
      <c r="J436" s="211"/>
    </row>
    <row r="437" spans="9:10" ht="15.75" customHeight="1">
      <c r="I437" s="120"/>
      <c r="J437" s="211"/>
    </row>
    <row r="438" spans="9:10" ht="15.75" customHeight="1">
      <c r="I438" s="120"/>
      <c r="J438" s="211"/>
    </row>
    <row r="439" spans="9:10" ht="15.75" customHeight="1">
      <c r="I439" s="120"/>
      <c r="J439" s="211"/>
    </row>
    <row r="440" spans="9:10" ht="15.75" customHeight="1">
      <c r="I440" s="120"/>
      <c r="J440" s="211"/>
    </row>
    <row r="441" spans="9:10" ht="15.75" customHeight="1">
      <c r="I441" s="120"/>
      <c r="J441" s="211"/>
    </row>
    <row r="442" spans="9:10" ht="15.75" customHeight="1">
      <c r="I442" s="120"/>
      <c r="J442" s="211"/>
    </row>
    <row r="443" spans="9:10" ht="15.75" customHeight="1">
      <c r="I443" s="120"/>
      <c r="J443" s="211"/>
    </row>
    <row r="444" spans="9:10" ht="15.75" customHeight="1">
      <c r="I444" s="120"/>
      <c r="J444" s="211"/>
    </row>
    <row r="445" spans="9:10" ht="15.75" customHeight="1">
      <c r="I445" s="120"/>
      <c r="J445" s="211"/>
    </row>
    <row r="446" spans="9:10" ht="15.75" customHeight="1">
      <c r="I446" s="120"/>
      <c r="J446" s="211"/>
    </row>
    <row r="447" spans="9:10" ht="15.75" customHeight="1">
      <c r="I447" s="120"/>
      <c r="J447" s="211"/>
    </row>
    <row r="448" spans="9:10" ht="15.75" customHeight="1">
      <c r="I448" s="120"/>
      <c r="J448" s="211"/>
    </row>
    <row r="449" spans="9:10" ht="15.75" customHeight="1">
      <c r="I449" s="120"/>
      <c r="J449" s="211"/>
    </row>
    <row r="450" spans="9:10" ht="15.75" customHeight="1">
      <c r="I450" s="120"/>
      <c r="J450" s="211"/>
    </row>
    <row r="451" spans="9:10" ht="15.75" customHeight="1">
      <c r="I451" s="120"/>
      <c r="J451" s="211"/>
    </row>
    <row r="452" spans="9:10" ht="15.75" customHeight="1">
      <c r="I452" s="120"/>
      <c r="J452" s="211"/>
    </row>
    <row r="453" spans="9:10" ht="15.75" customHeight="1">
      <c r="I453" s="120"/>
      <c r="J453" s="211"/>
    </row>
    <row r="454" spans="9:10" ht="15.75" customHeight="1">
      <c r="I454" s="120"/>
      <c r="J454" s="211"/>
    </row>
    <row r="455" spans="9:10" ht="15.75" customHeight="1">
      <c r="I455" s="120"/>
      <c r="J455" s="211"/>
    </row>
    <row r="456" spans="9:10" ht="15.75" customHeight="1">
      <c r="I456" s="120"/>
      <c r="J456" s="211"/>
    </row>
    <row r="457" spans="9:10" ht="15.75" customHeight="1">
      <c r="I457" s="120"/>
      <c r="J457" s="211"/>
    </row>
    <row r="458" spans="9:10" ht="15.75" customHeight="1">
      <c r="I458" s="120"/>
      <c r="J458" s="211"/>
    </row>
    <row r="459" spans="9:10" ht="15.75" customHeight="1">
      <c r="I459" s="120"/>
      <c r="J459" s="211"/>
    </row>
    <row r="460" spans="9:10" ht="15.75" customHeight="1">
      <c r="I460" s="120"/>
      <c r="J460" s="211"/>
    </row>
    <row r="461" spans="9:10" ht="15.75" customHeight="1">
      <c r="I461" s="120"/>
      <c r="J461" s="211"/>
    </row>
    <row r="462" spans="9:10" ht="15.75" customHeight="1">
      <c r="I462" s="120"/>
      <c r="J462" s="211"/>
    </row>
    <row r="463" spans="9:10" ht="15.75" customHeight="1">
      <c r="I463" s="120"/>
      <c r="J463" s="211"/>
    </row>
    <row r="464" spans="9:10" ht="15.75" customHeight="1">
      <c r="I464" s="120"/>
      <c r="J464" s="211"/>
    </row>
    <row r="465" spans="9:10" ht="15.75" customHeight="1">
      <c r="I465" s="120"/>
      <c r="J465" s="211"/>
    </row>
    <row r="466" spans="9:10" ht="15.75" customHeight="1">
      <c r="I466" s="120"/>
      <c r="J466" s="211"/>
    </row>
    <row r="467" spans="9:10" ht="15.75" customHeight="1">
      <c r="I467" s="120"/>
      <c r="J467" s="211"/>
    </row>
    <row r="468" spans="9:10" ht="15.75" customHeight="1">
      <c r="I468" s="120"/>
      <c r="J468" s="211"/>
    </row>
    <row r="469" spans="9:10" ht="15.75" customHeight="1">
      <c r="I469" s="120"/>
      <c r="J469" s="211"/>
    </row>
    <row r="470" spans="9:10" ht="15.75" customHeight="1">
      <c r="I470" s="120"/>
      <c r="J470" s="211"/>
    </row>
    <row r="471" spans="9:10" ht="15.75" customHeight="1">
      <c r="I471" s="120"/>
      <c r="J471" s="211"/>
    </row>
    <row r="472" spans="9:10" ht="15.75" customHeight="1">
      <c r="I472" s="120"/>
      <c r="J472" s="211"/>
    </row>
    <row r="473" spans="9:10" ht="15.75" customHeight="1">
      <c r="I473" s="120"/>
      <c r="J473" s="211"/>
    </row>
    <row r="474" spans="9:10" ht="15.75" customHeight="1">
      <c r="I474" s="120"/>
      <c r="J474" s="211"/>
    </row>
    <row r="475" spans="9:10" ht="15.75" customHeight="1">
      <c r="I475" s="120"/>
      <c r="J475" s="211"/>
    </row>
    <row r="476" spans="9:10" ht="15.75" customHeight="1">
      <c r="I476" s="120"/>
      <c r="J476" s="211"/>
    </row>
    <row r="477" spans="9:10" ht="15.75" customHeight="1">
      <c r="I477" s="120"/>
      <c r="J477" s="211"/>
    </row>
    <row r="478" spans="9:10" ht="15.75" customHeight="1">
      <c r="I478" s="120"/>
      <c r="J478" s="211"/>
    </row>
    <row r="479" spans="9:10" ht="15.75" customHeight="1">
      <c r="I479" s="120"/>
      <c r="J479" s="211"/>
    </row>
    <row r="480" spans="9:10" ht="15.75" customHeight="1">
      <c r="I480" s="120"/>
      <c r="J480" s="211"/>
    </row>
    <row r="481" spans="9:10" ht="15.75" customHeight="1">
      <c r="I481" s="120"/>
      <c r="J481" s="211"/>
    </row>
    <row r="482" spans="9:10" ht="15.75" customHeight="1">
      <c r="I482" s="120"/>
      <c r="J482" s="211"/>
    </row>
    <row r="483" spans="9:10" ht="15.75" customHeight="1">
      <c r="I483" s="120"/>
      <c r="J483" s="211"/>
    </row>
    <row r="484" spans="9:10" ht="15.75" customHeight="1">
      <c r="I484" s="120"/>
      <c r="J484" s="211"/>
    </row>
    <row r="485" spans="9:10" ht="15.75" customHeight="1">
      <c r="I485" s="120"/>
      <c r="J485" s="211"/>
    </row>
    <row r="486" spans="9:10" ht="15.75" customHeight="1">
      <c r="I486" s="120"/>
      <c r="J486" s="211"/>
    </row>
    <row r="487" spans="9:10" ht="15.75" customHeight="1">
      <c r="I487" s="120"/>
      <c r="J487" s="211"/>
    </row>
    <row r="488" spans="9:10" ht="15.75" customHeight="1">
      <c r="I488" s="120"/>
      <c r="J488" s="211"/>
    </row>
    <row r="489" spans="9:10" ht="15.75" customHeight="1">
      <c r="I489" s="120"/>
      <c r="J489" s="211"/>
    </row>
    <row r="490" spans="9:10" ht="15.75" customHeight="1">
      <c r="I490" s="120"/>
      <c r="J490" s="211"/>
    </row>
    <row r="491" spans="9:10" ht="15.75" customHeight="1">
      <c r="I491" s="120"/>
      <c r="J491" s="211"/>
    </row>
    <row r="492" spans="9:10" ht="15.75" customHeight="1">
      <c r="I492" s="120"/>
      <c r="J492" s="211"/>
    </row>
    <row r="493" spans="9:10" ht="15.75" customHeight="1">
      <c r="I493" s="120"/>
      <c r="J493" s="211"/>
    </row>
    <row r="494" spans="9:10" ht="15.75" customHeight="1">
      <c r="I494" s="120"/>
      <c r="J494" s="211"/>
    </row>
    <row r="495" spans="9:10" ht="15.75" customHeight="1">
      <c r="I495" s="120"/>
      <c r="J495" s="211"/>
    </row>
    <row r="496" spans="9:10" ht="15.75" customHeight="1">
      <c r="I496" s="120"/>
      <c r="J496" s="211"/>
    </row>
    <row r="497" spans="9:10" ht="15.75" customHeight="1">
      <c r="I497" s="120"/>
      <c r="J497" s="211"/>
    </row>
    <row r="498" spans="9:10" ht="15.75" customHeight="1">
      <c r="I498" s="120"/>
      <c r="J498" s="211"/>
    </row>
    <row r="499" spans="9:10" ht="15.75" customHeight="1">
      <c r="I499" s="120"/>
      <c r="J499" s="211"/>
    </row>
    <row r="500" spans="9:10" ht="15.75" customHeight="1">
      <c r="I500" s="120"/>
      <c r="J500" s="211"/>
    </row>
    <row r="501" spans="9:10" ht="15.75" customHeight="1">
      <c r="I501" s="120"/>
      <c r="J501" s="211"/>
    </row>
    <row r="502" spans="9:10" ht="15.75" customHeight="1">
      <c r="I502" s="120"/>
      <c r="J502" s="211"/>
    </row>
    <row r="503" spans="9:10" ht="15.75" customHeight="1">
      <c r="I503" s="120"/>
      <c r="J503" s="211"/>
    </row>
    <row r="504" spans="9:10" ht="15.75" customHeight="1">
      <c r="I504" s="120"/>
      <c r="J504" s="211"/>
    </row>
    <row r="505" spans="9:10" ht="15.75" customHeight="1">
      <c r="I505" s="120"/>
      <c r="J505" s="211"/>
    </row>
    <row r="506" spans="9:10" ht="15.75" customHeight="1">
      <c r="I506" s="120"/>
      <c r="J506" s="211"/>
    </row>
    <row r="507" spans="9:10" ht="15.75" customHeight="1">
      <c r="I507" s="120"/>
      <c r="J507" s="211"/>
    </row>
    <row r="508" spans="9:10" ht="15.75" customHeight="1">
      <c r="I508" s="120"/>
      <c r="J508" s="211"/>
    </row>
    <row r="509" spans="9:10" ht="15.75" customHeight="1">
      <c r="I509" s="120"/>
      <c r="J509" s="211"/>
    </row>
    <row r="510" spans="9:10" ht="15.75" customHeight="1">
      <c r="I510" s="120"/>
      <c r="J510" s="211"/>
    </row>
    <row r="511" spans="9:10" ht="15.75" customHeight="1">
      <c r="I511" s="120"/>
      <c r="J511" s="211"/>
    </row>
    <row r="512" spans="9:10" ht="15.75" customHeight="1">
      <c r="I512" s="120"/>
      <c r="J512" s="211"/>
    </row>
    <row r="513" spans="9:10" ht="15.75" customHeight="1">
      <c r="I513" s="120"/>
      <c r="J513" s="211"/>
    </row>
    <row r="514" spans="9:10" ht="15.75" customHeight="1">
      <c r="I514" s="120"/>
      <c r="J514" s="211"/>
    </row>
    <row r="515" spans="9:10" ht="15.75" customHeight="1">
      <c r="I515" s="120"/>
      <c r="J515" s="211"/>
    </row>
    <row r="516" spans="9:10" ht="15.75" customHeight="1">
      <c r="I516" s="120"/>
      <c r="J516" s="211"/>
    </row>
    <row r="517" spans="9:10" ht="15.75" customHeight="1">
      <c r="I517" s="120"/>
      <c r="J517" s="211"/>
    </row>
    <row r="518" spans="9:10" ht="15.75" customHeight="1">
      <c r="I518" s="120"/>
      <c r="J518" s="211"/>
    </row>
    <row r="519" spans="9:10" ht="15.75" customHeight="1">
      <c r="I519" s="120"/>
      <c r="J519" s="211"/>
    </row>
    <row r="520" spans="9:10" ht="15.75" customHeight="1">
      <c r="I520" s="120"/>
      <c r="J520" s="211"/>
    </row>
    <row r="521" spans="9:10" ht="15.75" customHeight="1">
      <c r="I521" s="120"/>
      <c r="J521" s="211"/>
    </row>
    <row r="522" spans="9:10" ht="15.75" customHeight="1">
      <c r="I522" s="120"/>
      <c r="J522" s="211"/>
    </row>
    <row r="523" spans="9:10" ht="15.75" customHeight="1">
      <c r="I523" s="120"/>
      <c r="J523" s="211"/>
    </row>
    <row r="524" spans="9:10" ht="15.75" customHeight="1">
      <c r="I524" s="120"/>
      <c r="J524" s="211"/>
    </row>
    <row r="525" spans="9:10" ht="15.75" customHeight="1">
      <c r="I525" s="120"/>
      <c r="J525" s="211"/>
    </row>
    <row r="526" spans="9:10" ht="15.75" customHeight="1">
      <c r="I526" s="120"/>
      <c r="J526" s="211"/>
    </row>
    <row r="527" spans="9:10" ht="15.75" customHeight="1">
      <c r="I527" s="120"/>
      <c r="J527" s="211"/>
    </row>
    <row r="528" spans="9:10" ht="15.75" customHeight="1">
      <c r="I528" s="120"/>
      <c r="J528" s="211"/>
    </row>
    <row r="529" spans="9:10" ht="15.75" customHeight="1">
      <c r="I529" s="120"/>
      <c r="J529" s="211"/>
    </row>
    <row r="530" spans="9:10" ht="15.75" customHeight="1">
      <c r="I530" s="120"/>
      <c r="J530" s="211"/>
    </row>
    <row r="531" spans="9:10" ht="15.75" customHeight="1">
      <c r="I531" s="120"/>
      <c r="J531" s="211"/>
    </row>
    <row r="532" spans="9:10" ht="15.75" customHeight="1">
      <c r="I532" s="120"/>
      <c r="J532" s="211"/>
    </row>
    <row r="533" spans="9:10" ht="15.75" customHeight="1">
      <c r="I533" s="120"/>
      <c r="J533" s="211"/>
    </row>
    <row r="534" spans="9:10" ht="15.75" customHeight="1">
      <c r="I534" s="120"/>
      <c r="J534" s="211"/>
    </row>
    <row r="535" spans="9:10" ht="15.75" customHeight="1">
      <c r="I535" s="120"/>
      <c r="J535" s="211"/>
    </row>
    <row r="536" spans="9:10" ht="15.75" customHeight="1">
      <c r="I536" s="120"/>
      <c r="J536" s="211"/>
    </row>
    <row r="537" spans="9:10" ht="15.75" customHeight="1">
      <c r="I537" s="120"/>
      <c r="J537" s="211"/>
    </row>
    <row r="538" spans="9:10" ht="15.75" customHeight="1">
      <c r="I538" s="120"/>
      <c r="J538" s="211"/>
    </row>
    <row r="539" spans="9:10" ht="15.75" customHeight="1">
      <c r="I539" s="120"/>
      <c r="J539" s="211"/>
    </row>
    <row r="540" spans="9:10" ht="15.75" customHeight="1">
      <c r="I540" s="120"/>
      <c r="J540" s="211"/>
    </row>
    <row r="541" spans="9:10" ht="15.75" customHeight="1">
      <c r="I541" s="120"/>
      <c r="J541" s="211"/>
    </row>
    <row r="542" spans="9:10" ht="15.75" customHeight="1">
      <c r="I542" s="120"/>
      <c r="J542" s="211"/>
    </row>
    <row r="543" spans="9:10" ht="15.75" customHeight="1">
      <c r="I543" s="120"/>
      <c r="J543" s="211"/>
    </row>
    <row r="544" spans="9:10" ht="15.75" customHeight="1">
      <c r="I544" s="120"/>
      <c r="J544" s="211"/>
    </row>
    <row r="545" spans="9:10" ht="15.75" customHeight="1">
      <c r="I545" s="120"/>
      <c r="J545" s="211"/>
    </row>
    <row r="546" spans="9:10" ht="15.75" customHeight="1">
      <c r="I546" s="120"/>
      <c r="J546" s="211"/>
    </row>
    <row r="547" spans="9:10" ht="15.75" customHeight="1">
      <c r="I547" s="120"/>
      <c r="J547" s="211"/>
    </row>
    <row r="548" spans="9:10" ht="15.75" customHeight="1">
      <c r="I548" s="120"/>
      <c r="J548" s="211"/>
    </row>
    <row r="549" spans="9:10" ht="15.75" customHeight="1">
      <c r="I549" s="120"/>
      <c r="J549" s="211"/>
    </row>
    <row r="550" spans="9:10" ht="15.75" customHeight="1">
      <c r="I550" s="120"/>
      <c r="J550" s="211"/>
    </row>
    <row r="551" spans="9:10" ht="15.75" customHeight="1">
      <c r="I551" s="120"/>
      <c r="J551" s="211"/>
    </row>
    <row r="552" spans="9:10" ht="15.75" customHeight="1">
      <c r="I552" s="120"/>
      <c r="J552" s="211"/>
    </row>
    <row r="553" spans="9:10" ht="15.75" customHeight="1">
      <c r="I553" s="120"/>
      <c r="J553" s="211"/>
    </row>
    <row r="554" spans="9:10" ht="15.75" customHeight="1">
      <c r="I554" s="120"/>
      <c r="J554" s="211"/>
    </row>
    <row r="555" spans="9:10" ht="15.75" customHeight="1">
      <c r="I555" s="120"/>
      <c r="J555" s="211"/>
    </row>
    <row r="556" spans="9:10" ht="15.75" customHeight="1">
      <c r="I556" s="120"/>
      <c r="J556" s="211"/>
    </row>
    <row r="557" spans="9:10" ht="15.75" customHeight="1">
      <c r="I557" s="120"/>
      <c r="J557" s="211"/>
    </row>
    <row r="558" spans="9:10" ht="15.75" customHeight="1">
      <c r="I558" s="120"/>
      <c r="J558" s="211"/>
    </row>
    <row r="559" spans="9:10" ht="15.75" customHeight="1">
      <c r="I559" s="120"/>
      <c r="J559" s="211"/>
    </row>
    <row r="560" spans="9:10" ht="15.75" customHeight="1">
      <c r="I560" s="120"/>
      <c r="J560" s="211"/>
    </row>
    <row r="561" spans="9:10" ht="15.75" customHeight="1">
      <c r="I561" s="120"/>
      <c r="J561" s="211"/>
    </row>
    <row r="562" spans="9:10" ht="15.75" customHeight="1">
      <c r="I562" s="120"/>
      <c r="J562" s="211"/>
    </row>
    <row r="563" spans="9:10" ht="15.75" customHeight="1">
      <c r="I563" s="120"/>
      <c r="J563" s="211"/>
    </row>
    <row r="564" spans="9:10" ht="15.75" customHeight="1">
      <c r="I564" s="120"/>
      <c r="J564" s="211"/>
    </row>
    <row r="565" spans="9:10" ht="15.75" customHeight="1">
      <c r="I565" s="120"/>
      <c r="J565" s="211"/>
    </row>
    <row r="566" spans="9:10" ht="15.75" customHeight="1">
      <c r="I566" s="120"/>
      <c r="J566" s="211"/>
    </row>
    <row r="567" spans="9:10" ht="15.75" customHeight="1">
      <c r="I567" s="120"/>
      <c r="J567" s="211"/>
    </row>
    <row r="568" spans="9:10" ht="15.75" customHeight="1">
      <c r="I568" s="120"/>
      <c r="J568" s="211"/>
    </row>
    <row r="569" spans="9:10" ht="15.75" customHeight="1">
      <c r="I569" s="120"/>
      <c r="J569" s="211"/>
    </row>
    <row r="570" spans="9:10" ht="15.75" customHeight="1">
      <c r="I570" s="120"/>
      <c r="J570" s="211"/>
    </row>
    <row r="571" spans="9:10" ht="15.75" customHeight="1">
      <c r="I571" s="120"/>
      <c r="J571" s="211"/>
    </row>
    <row r="572" spans="9:10" ht="15.75" customHeight="1">
      <c r="I572" s="120"/>
      <c r="J572" s="211"/>
    </row>
    <row r="573" spans="9:10" ht="15.75" customHeight="1">
      <c r="I573" s="120"/>
      <c r="J573" s="211"/>
    </row>
    <row r="574" spans="9:10" ht="15.75" customHeight="1">
      <c r="I574" s="120"/>
      <c r="J574" s="211"/>
    </row>
    <row r="575" spans="9:10" ht="15.75" customHeight="1">
      <c r="I575" s="120"/>
      <c r="J575" s="211"/>
    </row>
    <row r="576" spans="9:10" ht="15.75" customHeight="1">
      <c r="I576" s="120"/>
      <c r="J576" s="211"/>
    </row>
    <row r="577" spans="9:10" ht="15.75" customHeight="1">
      <c r="I577" s="120"/>
      <c r="J577" s="211"/>
    </row>
    <row r="578" spans="9:10" ht="15.75" customHeight="1">
      <c r="I578" s="120"/>
      <c r="J578" s="211"/>
    </row>
    <row r="579" spans="9:10" ht="15.75" customHeight="1">
      <c r="I579" s="120"/>
      <c r="J579" s="211"/>
    </row>
    <row r="580" spans="9:10" ht="15.75" customHeight="1">
      <c r="I580" s="120"/>
      <c r="J580" s="211"/>
    </row>
    <row r="581" spans="9:10" ht="15.75" customHeight="1">
      <c r="I581" s="120"/>
      <c r="J581" s="211"/>
    </row>
    <row r="582" spans="9:10" ht="15.75" customHeight="1">
      <c r="I582" s="120"/>
      <c r="J582" s="211"/>
    </row>
    <row r="583" spans="9:10" ht="15.75" customHeight="1">
      <c r="I583" s="120"/>
      <c r="J583" s="211"/>
    </row>
    <row r="584" spans="9:10" ht="15.75" customHeight="1">
      <c r="I584" s="120"/>
      <c r="J584" s="211"/>
    </row>
    <row r="585" spans="9:10" ht="15.75" customHeight="1">
      <c r="I585" s="120"/>
      <c r="J585" s="211"/>
    </row>
    <row r="586" spans="9:10" ht="15.75" customHeight="1">
      <c r="I586" s="120"/>
      <c r="J586" s="211"/>
    </row>
    <row r="587" spans="9:10" ht="15.75" customHeight="1">
      <c r="I587" s="120"/>
      <c r="J587" s="211"/>
    </row>
    <row r="588" spans="9:10" ht="15.75" customHeight="1">
      <c r="I588" s="120"/>
      <c r="J588" s="211"/>
    </row>
    <row r="589" spans="9:10" ht="15.75" customHeight="1">
      <c r="I589" s="120"/>
      <c r="J589" s="211"/>
    </row>
    <row r="590" spans="9:10" ht="15.75" customHeight="1">
      <c r="I590" s="120"/>
      <c r="J590" s="211"/>
    </row>
    <row r="591" spans="9:10" ht="15.75" customHeight="1">
      <c r="I591" s="120"/>
      <c r="J591" s="211"/>
    </row>
    <row r="592" spans="9:10" ht="15.75" customHeight="1">
      <c r="I592" s="120"/>
      <c r="J592" s="211"/>
    </row>
    <row r="593" spans="9:10" ht="15.75" customHeight="1">
      <c r="I593" s="120"/>
      <c r="J593" s="211"/>
    </row>
    <row r="594" spans="9:10" ht="15.75" customHeight="1">
      <c r="I594" s="120"/>
      <c r="J594" s="211"/>
    </row>
    <row r="595" spans="9:10" ht="15.75" customHeight="1">
      <c r="I595" s="120"/>
      <c r="J595" s="211"/>
    </row>
    <row r="596" spans="9:10" ht="15.75" customHeight="1">
      <c r="I596" s="120"/>
      <c r="J596" s="211"/>
    </row>
    <row r="597" spans="9:10" ht="15.75" customHeight="1">
      <c r="I597" s="120"/>
      <c r="J597" s="211"/>
    </row>
    <row r="598" spans="9:10" ht="15.75" customHeight="1">
      <c r="I598" s="120"/>
      <c r="J598" s="211"/>
    </row>
    <row r="599" spans="9:10" ht="15.75" customHeight="1">
      <c r="I599" s="120"/>
      <c r="J599" s="211"/>
    </row>
    <row r="600" spans="9:10" ht="15.75" customHeight="1">
      <c r="I600" s="120"/>
      <c r="J600" s="211"/>
    </row>
    <row r="601" spans="9:10" ht="15.75" customHeight="1">
      <c r="I601" s="120"/>
      <c r="J601" s="211"/>
    </row>
    <row r="602" spans="9:10" ht="15.75" customHeight="1">
      <c r="I602" s="120"/>
      <c r="J602" s="211"/>
    </row>
    <row r="603" spans="9:10" ht="15.75" customHeight="1">
      <c r="I603" s="120"/>
      <c r="J603" s="211"/>
    </row>
    <row r="604" spans="9:10" ht="15.75" customHeight="1">
      <c r="I604" s="120"/>
      <c r="J604" s="211"/>
    </row>
    <row r="605" spans="9:10" ht="15.75" customHeight="1">
      <c r="I605" s="120"/>
      <c r="J605" s="211"/>
    </row>
    <row r="606" spans="9:10" ht="15.75" customHeight="1">
      <c r="I606" s="120"/>
      <c r="J606" s="211"/>
    </row>
    <row r="607" spans="9:10" ht="15.75" customHeight="1">
      <c r="I607" s="120"/>
      <c r="J607" s="211"/>
    </row>
    <row r="608" spans="9:10" ht="15.75" customHeight="1">
      <c r="I608" s="120"/>
      <c r="J608" s="211"/>
    </row>
    <row r="609" spans="9:10" ht="15.75" customHeight="1">
      <c r="I609" s="120"/>
      <c r="J609" s="211"/>
    </row>
    <row r="610" spans="9:10" ht="15.75" customHeight="1">
      <c r="I610" s="120"/>
      <c r="J610" s="211"/>
    </row>
    <row r="611" spans="9:10" ht="15.75" customHeight="1">
      <c r="I611" s="120"/>
      <c r="J611" s="211"/>
    </row>
    <row r="612" spans="9:10" ht="15.75" customHeight="1">
      <c r="I612" s="120"/>
      <c r="J612" s="211"/>
    </row>
    <row r="613" spans="9:10" ht="15.75" customHeight="1">
      <c r="I613" s="120"/>
      <c r="J613" s="211"/>
    </row>
    <row r="614" spans="9:10" ht="15.75" customHeight="1">
      <c r="I614" s="120"/>
      <c r="J614" s="211"/>
    </row>
    <row r="615" spans="9:10" ht="15.75" customHeight="1">
      <c r="I615" s="120"/>
      <c r="J615" s="211"/>
    </row>
    <row r="616" spans="9:10" ht="15.75" customHeight="1">
      <c r="I616" s="120"/>
      <c r="J616" s="211"/>
    </row>
    <row r="617" spans="9:10" ht="15.75" customHeight="1">
      <c r="I617" s="120"/>
      <c r="J617" s="211"/>
    </row>
    <row r="618" spans="9:10" ht="15.75" customHeight="1">
      <c r="I618" s="120"/>
      <c r="J618" s="211"/>
    </row>
    <row r="619" spans="9:10" ht="15.75" customHeight="1">
      <c r="I619" s="120"/>
      <c r="J619" s="211"/>
    </row>
    <row r="620" spans="9:10" ht="15.75" customHeight="1">
      <c r="I620" s="120"/>
      <c r="J620" s="211"/>
    </row>
    <row r="621" spans="9:10" ht="15.75" customHeight="1">
      <c r="I621" s="120"/>
      <c r="J621" s="211"/>
    </row>
    <row r="622" spans="9:10" ht="15.75" customHeight="1">
      <c r="I622" s="120"/>
      <c r="J622" s="211"/>
    </row>
    <row r="623" spans="9:10" ht="15.75" customHeight="1">
      <c r="I623" s="120"/>
      <c r="J623" s="211"/>
    </row>
    <row r="624" spans="9:10" ht="15.75" customHeight="1">
      <c r="I624" s="120"/>
      <c r="J624" s="211"/>
    </row>
    <row r="625" spans="9:10" ht="15.75" customHeight="1">
      <c r="I625" s="120"/>
      <c r="J625" s="211"/>
    </row>
    <row r="626" spans="9:10" ht="15.75" customHeight="1">
      <c r="I626" s="120"/>
      <c r="J626" s="211"/>
    </row>
    <row r="627" spans="9:10" ht="15.75" customHeight="1">
      <c r="I627" s="120"/>
      <c r="J627" s="211"/>
    </row>
    <row r="628" spans="9:10" ht="15.75" customHeight="1">
      <c r="I628" s="120"/>
      <c r="J628" s="211"/>
    </row>
    <row r="629" spans="9:10" ht="15.75" customHeight="1">
      <c r="I629" s="120"/>
      <c r="J629" s="211"/>
    </row>
    <row r="630" spans="9:10" ht="15.75" customHeight="1">
      <c r="I630" s="120"/>
      <c r="J630" s="211"/>
    </row>
    <row r="631" spans="9:10" ht="15.75" customHeight="1">
      <c r="I631" s="120"/>
      <c r="J631" s="211"/>
    </row>
    <row r="632" spans="9:10" ht="15.75" customHeight="1">
      <c r="I632" s="120"/>
      <c r="J632" s="211"/>
    </row>
    <row r="633" spans="9:10" ht="15.75" customHeight="1">
      <c r="I633" s="120"/>
      <c r="J633" s="211"/>
    </row>
    <row r="634" spans="9:10" ht="15.75" customHeight="1">
      <c r="I634" s="120"/>
      <c r="J634" s="211"/>
    </row>
    <row r="635" spans="9:10" ht="15.75" customHeight="1">
      <c r="I635" s="120"/>
      <c r="J635" s="211"/>
    </row>
    <row r="636" spans="9:10" ht="15.75" customHeight="1">
      <c r="I636" s="120"/>
      <c r="J636" s="211"/>
    </row>
    <row r="637" spans="9:10" ht="15.75" customHeight="1">
      <c r="I637" s="120"/>
      <c r="J637" s="211"/>
    </row>
    <row r="638" spans="9:10" ht="15.75" customHeight="1">
      <c r="I638" s="120"/>
      <c r="J638" s="211"/>
    </row>
    <row r="639" spans="9:10" ht="15.75" customHeight="1">
      <c r="I639" s="120"/>
      <c r="J639" s="211"/>
    </row>
    <row r="640" spans="9:10" ht="15.75" customHeight="1">
      <c r="I640" s="120"/>
      <c r="J640" s="211"/>
    </row>
    <row r="641" spans="9:10" ht="15.75" customHeight="1">
      <c r="I641" s="120"/>
      <c r="J641" s="211"/>
    </row>
    <row r="642" spans="9:10" ht="15.75" customHeight="1">
      <c r="I642" s="120"/>
      <c r="J642" s="211"/>
    </row>
    <row r="643" spans="9:10" ht="15.75" customHeight="1">
      <c r="I643" s="120"/>
      <c r="J643" s="211"/>
    </row>
    <row r="644" spans="9:10" ht="15.75" customHeight="1">
      <c r="I644" s="120"/>
      <c r="J644" s="211"/>
    </row>
    <row r="645" spans="9:10" ht="15.75" customHeight="1">
      <c r="I645" s="120"/>
      <c r="J645" s="211"/>
    </row>
    <row r="646" spans="9:10" ht="15.75" customHeight="1">
      <c r="I646" s="120"/>
      <c r="J646" s="211"/>
    </row>
    <row r="647" spans="9:10" ht="15.75" customHeight="1">
      <c r="I647" s="120"/>
      <c r="J647" s="211"/>
    </row>
    <row r="648" spans="9:10" ht="15.75" customHeight="1">
      <c r="I648" s="120"/>
      <c r="J648" s="211"/>
    </row>
    <row r="649" spans="9:10" ht="15.75" customHeight="1">
      <c r="I649" s="120"/>
      <c r="J649" s="211"/>
    </row>
    <row r="650" spans="9:10" ht="15.75" customHeight="1">
      <c r="I650" s="120"/>
      <c r="J650" s="211"/>
    </row>
    <row r="651" spans="9:10" ht="15.75" customHeight="1">
      <c r="I651" s="120"/>
      <c r="J651" s="211"/>
    </row>
    <row r="652" spans="9:10" ht="15.75" customHeight="1">
      <c r="I652" s="120"/>
      <c r="J652" s="211"/>
    </row>
    <row r="653" spans="9:10" ht="15.75" customHeight="1">
      <c r="I653" s="120"/>
      <c r="J653" s="211"/>
    </row>
    <row r="654" spans="9:10" ht="15.75" customHeight="1">
      <c r="I654" s="120"/>
      <c r="J654" s="211"/>
    </row>
    <row r="655" spans="9:10" ht="15.75" customHeight="1">
      <c r="I655" s="120"/>
      <c r="J655" s="211"/>
    </row>
    <row r="656" spans="9:10" ht="15.75" customHeight="1">
      <c r="I656" s="120"/>
      <c r="J656" s="211"/>
    </row>
    <row r="657" spans="9:10" ht="15.75" customHeight="1">
      <c r="I657" s="120"/>
      <c r="J657" s="211"/>
    </row>
    <row r="658" spans="9:10" ht="15.75" customHeight="1">
      <c r="I658" s="120"/>
      <c r="J658" s="211"/>
    </row>
    <row r="659" spans="9:10" ht="15.75" customHeight="1">
      <c r="I659" s="120"/>
      <c r="J659" s="211"/>
    </row>
    <row r="660" spans="9:10" ht="15.75" customHeight="1">
      <c r="I660" s="120"/>
      <c r="J660" s="211"/>
    </row>
    <row r="661" spans="9:10" ht="15.75" customHeight="1">
      <c r="I661" s="120"/>
      <c r="J661" s="211"/>
    </row>
    <row r="662" spans="9:10" ht="15.75" customHeight="1">
      <c r="I662" s="120"/>
      <c r="J662" s="211"/>
    </row>
    <row r="663" spans="9:10" ht="15.75" customHeight="1">
      <c r="I663" s="120"/>
      <c r="J663" s="211"/>
    </row>
    <row r="664" spans="9:10" ht="15.75" customHeight="1">
      <c r="I664" s="120"/>
      <c r="J664" s="211"/>
    </row>
    <row r="665" spans="9:10" ht="15.75" customHeight="1">
      <c r="I665" s="120"/>
      <c r="J665" s="211"/>
    </row>
    <row r="666" spans="9:10" ht="15.75" customHeight="1">
      <c r="I666" s="120"/>
      <c r="J666" s="211"/>
    </row>
    <row r="667" spans="9:10" ht="15.75" customHeight="1">
      <c r="I667" s="120"/>
      <c r="J667" s="211"/>
    </row>
    <row r="668" spans="9:10" ht="15.75" customHeight="1">
      <c r="I668" s="120"/>
      <c r="J668" s="211"/>
    </row>
    <row r="669" spans="9:10" ht="15.75" customHeight="1">
      <c r="I669" s="120"/>
      <c r="J669" s="211"/>
    </row>
    <row r="670" spans="9:10" ht="15.75" customHeight="1">
      <c r="I670" s="120"/>
      <c r="J670" s="211"/>
    </row>
    <row r="671" spans="9:10" ht="15.75" customHeight="1">
      <c r="I671" s="120"/>
      <c r="J671" s="211"/>
    </row>
    <row r="672" spans="9:10" ht="15.75" customHeight="1">
      <c r="I672" s="120"/>
      <c r="J672" s="211"/>
    </row>
    <row r="673" spans="9:10" ht="15.75" customHeight="1">
      <c r="I673" s="120"/>
      <c r="J673" s="211"/>
    </row>
    <row r="674" spans="9:10" ht="15.75" customHeight="1">
      <c r="I674" s="120"/>
      <c r="J674" s="211"/>
    </row>
    <row r="675" spans="9:10" ht="15.75" customHeight="1">
      <c r="I675" s="120"/>
      <c r="J675" s="211"/>
    </row>
    <row r="676" spans="9:10" ht="15.75" customHeight="1">
      <c r="I676" s="120"/>
      <c r="J676" s="211"/>
    </row>
    <row r="677" spans="9:10" ht="15.75" customHeight="1">
      <c r="I677" s="120"/>
      <c r="J677" s="211"/>
    </row>
    <row r="678" spans="9:10" ht="15.75" customHeight="1">
      <c r="I678" s="120"/>
      <c r="J678" s="211"/>
    </row>
    <row r="679" spans="9:10" ht="15.75" customHeight="1">
      <c r="I679" s="120"/>
      <c r="J679" s="211"/>
    </row>
    <row r="680" spans="9:10" ht="15.75" customHeight="1">
      <c r="I680" s="120"/>
      <c r="J680" s="211"/>
    </row>
    <row r="681" spans="9:10" ht="15.75" customHeight="1">
      <c r="I681" s="120"/>
      <c r="J681" s="211"/>
    </row>
    <row r="682" spans="9:10" ht="15.75" customHeight="1">
      <c r="I682" s="120"/>
      <c r="J682" s="211"/>
    </row>
    <row r="683" spans="9:10" ht="15.75" customHeight="1">
      <c r="I683" s="120"/>
      <c r="J683" s="211"/>
    </row>
    <row r="684" spans="9:10" ht="15.75" customHeight="1">
      <c r="I684" s="120"/>
      <c r="J684" s="211"/>
    </row>
    <row r="685" spans="9:10" ht="15.75" customHeight="1">
      <c r="I685" s="120"/>
      <c r="J685" s="211"/>
    </row>
    <row r="686" spans="9:10" ht="15.75" customHeight="1">
      <c r="I686" s="120"/>
      <c r="J686" s="211"/>
    </row>
    <row r="687" spans="9:10" ht="15.75" customHeight="1">
      <c r="I687" s="120"/>
      <c r="J687" s="211"/>
    </row>
    <row r="688" spans="9:10" ht="15.75" customHeight="1">
      <c r="I688" s="120"/>
      <c r="J688" s="211"/>
    </row>
    <row r="689" spans="9:10" ht="15.75" customHeight="1">
      <c r="I689" s="120"/>
      <c r="J689" s="211"/>
    </row>
    <row r="690" spans="9:10" ht="15.75" customHeight="1">
      <c r="I690" s="120"/>
      <c r="J690" s="211"/>
    </row>
    <row r="691" spans="9:10" ht="15.75" customHeight="1">
      <c r="I691" s="120"/>
      <c r="J691" s="211"/>
    </row>
    <row r="692" spans="9:10" ht="15.75" customHeight="1">
      <c r="I692" s="120"/>
      <c r="J692" s="211"/>
    </row>
    <row r="693" spans="9:10" ht="15.75" customHeight="1">
      <c r="I693" s="120"/>
      <c r="J693" s="211"/>
    </row>
    <row r="694" spans="9:10" ht="15.75" customHeight="1">
      <c r="I694" s="120"/>
      <c r="J694" s="211"/>
    </row>
    <row r="695" spans="9:10" ht="15.75" customHeight="1">
      <c r="I695" s="120"/>
      <c r="J695" s="211"/>
    </row>
    <row r="696" spans="9:10" ht="15.75" customHeight="1">
      <c r="I696" s="120"/>
      <c r="J696" s="211"/>
    </row>
    <row r="697" spans="9:10" ht="15.75" customHeight="1">
      <c r="I697" s="120"/>
      <c r="J697" s="211"/>
    </row>
    <row r="698" spans="9:10" ht="15.75" customHeight="1">
      <c r="I698" s="120"/>
      <c r="J698" s="211"/>
    </row>
    <row r="699" spans="9:10" ht="15.75" customHeight="1">
      <c r="I699" s="120"/>
      <c r="J699" s="211"/>
    </row>
    <row r="700" spans="9:10" ht="15.75" customHeight="1">
      <c r="I700" s="120"/>
      <c r="J700" s="211"/>
    </row>
    <row r="701" spans="9:10" ht="15.75" customHeight="1">
      <c r="I701" s="120"/>
      <c r="J701" s="211"/>
    </row>
    <row r="702" spans="9:10" ht="15.75" customHeight="1">
      <c r="I702" s="120"/>
      <c r="J702" s="211"/>
    </row>
    <row r="703" spans="9:10" ht="15.75" customHeight="1">
      <c r="I703" s="120"/>
      <c r="J703" s="211"/>
    </row>
    <row r="704" spans="9:10" ht="15.75" customHeight="1">
      <c r="I704" s="120"/>
      <c r="J704" s="211"/>
    </row>
    <row r="705" spans="9:10" ht="15.75" customHeight="1">
      <c r="I705" s="120"/>
      <c r="J705" s="211"/>
    </row>
    <row r="706" spans="9:10" ht="15.75" customHeight="1">
      <c r="I706" s="120"/>
      <c r="J706" s="211"/>
    </row>
    <row r="707" spans="9:10" ht="15.75" customHeight="1">
      <c r="I707" s="120"/>
      <c r="J707" s="211"/>
    </row>
    <row r="708" spans="9:10" ht="15.75" customHeight="1">
      <c r="I708" s="120"/>
      <c r="J708" s="211"/>
    </row>
    <row r="709" spans="9:10" ht="15.75" customHeight="1">
      <c r="I709" s="120"/>
      <c r="J709" s="211"/>
    </row>
    <row r="710" spans="9:10" ht="15.75" customHeight="1">
      <c r="I710" s="120"/>
      <c r="J710" s="211"/>
    </row>
    <row r="711" spans="9:10" ht="15.75" customHeight="1">
      <c r="I711" s="120"/>
      <c r="J711" s="211"/>
    </row>
    <row r="712" spans="9:10" ht="15.75" customHeight="1">
      <c r="I712" s="120"/>
      <c r="J712" s="211"/>
    </row>
    <row r="713" spans="9:10" ht="15.75" customHeight="1">
      <c r="I713" s="120"/>
      <c r="J713" s="211"/>
    </row>
    <row r="714" spans="9:10" ht="15.75" customHeight="1">
      <c r="I714" s="120"/>
      <c r="J714" s="211"/>
    </row>
    <row r="715" spans="9:10" ht="15.75" customHeight="1">
      <c r="I715" s="120"/>
      <c r="J715" s="211"/>
    </row>
    <row r="716" spans="9:10" ht="15.75" customHeight="1">
      <c r="I716" s="120"/>
      <c r="J716" s="211"/>
    </row>
    <row r="717" spans="9:10" ht="15.75" customHeight="1">
      <c r="I717" s="120"/>
      <c r="J717" s="211"/>
    </row>
    <row r="718" spans="9:10" ht="15.75" customHeight="1">
      <c r="I718" s="120"/>
      <c r="J718" s="211"/>
    </row>
    <row r="719" spans="9:10" ht="15.75" customHeight="1">
      <c r="I719" s="120"/>
      <c r="J719" s="211"/>
    </row>
    <row r="720" spans="9:10" ht="15.75" customHeight="1">
      <c r="I720" s="120"/>
      <c r="J720" s="211"/>
    </row>
    <row r="721" spans="9:10" ht="15.75" customHeight="1">
      <c r="I721" s="120"/>
      <c r="J721" s="211"/>
    </row>
    <row r="722" spans="9:10" ht="15.75" customHeight="1">
      <c r="I722" s="120"/>
      <c r="J722" s="211"/>
    </row>
    <row r="723" spans="9:10" ht="15.75" customHeight="1">
      <c r="I723" s="120"/>
      <c r="J723" s="211"/>
    </row>
    <row r="724" spans="9:10" ht="15.75" customHeight="1">
      <c r="I724" s="120"/>
      <c r="J724" s="211"/>
    </row>
    <row r="725" spans="9:10" ht="15.75" customHeight="1">
      <c r="I725" s="120"/>
      <c r="J725" s="211"/>
    </row>
    <row r="726" spans="9:10" ht="15.75" customHeight="1">
      <c r="I726" s="120"/>
      <c r="J726" s="211"/>
    </row>
    <row r="727" spans="9:10" ht="15.75" customHeight="1">
      <c r="I727" s="120"/>
      <c r="J727" s="211"/>
    </row>
    <row r="728" spans="9:10" ht="15.75" customHeight="1">
      <c r="I728" s="120"/>
      <c r="J728" s="211"/>
    </row>
    <row r="729" spans="9:10" ht="15.75" customHeight="1">
      <c r="I729" s="120"/>
      <c r="J729" s="211"/>
    </row>
    <row r="730" spans="9:10" ht="15.75" customHeight="1">
      <c r="I730" s="120"/>
      <c r="J730" s="211"/>
    </row>
    <row r="731" spans="9:10" ht="15.75" customHeight="1">
      <c r="I731" s="120"/>
      <c r="J731" s="211"/>
    </row>
    <row r="732" spans="9:10" ht="15.75" customHeight="1">
      <c r="I732" s="120"/>
      <c r="J732" s="211"/>
    </row>
    <row r="733" spans="9:10" ht="15.75" customHeight="1">
      <c r="I733" s="120"/>
      <c r="J733" s="211"/>
    </row>
    <row r="734" spans="9:10" ht="15.75" customHeight="1">
      <c r="I734" s="120"/>
      <c r="J734" s="211"/>
    </row>
    <row r="735" spans="9:10" ht="15.75" customHeight="1">
      <c r="I735" s="120"/>
      <c r="J735" s="211"/>
    </row>
    <row r="736" spans="9:10" ht="15.75" customHeight="1">
      <c r="I736" s="120"/>
      <c r="J736" s="211"/>
    </row>
    <row r="737" spans="9:10" ht="15.75" customHeight="1">
      <c r="I737" s="120"/>
      <c r="J737" s="211"/>
    </row>
    <row r="738" spans="9:10" ht="15.75" customHeight="1">
      <c r="I738" s="120"/>
      <c r="J738" s="211"/>
    </row>
    <row r="739" spans="9:10" ht="15.75" customHeight="1">
      <c r="I739" s="120"/>
      <c r="J739" s="211"/>
    </row>
    <row r="740" spans="9:10" ht="15.75" customHeight="1">
      <c r="I740" s="120"/>
      <c r="J740" s="211"/>
    </row>
    <row r="741" spans="9:10" ht="15.75" customHeight="1">
      <c r="I741" s="120"/>
      <c r="J741" s="211"/>
    </row>
    <row r="742" spans="9:10" ht="15.75" customHeight="1">
      <c r="I742" s="120"/>
      <c r="J742" s="211"/>
    </row>
    <row r="743" spans="9:10" ht="15.75" customHeight="1">
      <c r="I743" s="120"/>
      <c r="J743" s="211"/>
    </row>
    <row r="744" spans="9:10" ht="15.75" customHeight="1">
      <c r="I744" s="120"/>
      <c r="J744" s="211"/>
    </row>
    <row r="745" spans="9:10" ht="15.75" customHeight="1">
      <c r="I745" s="120"/>
      <c r="J745" s="211"/>
    </row>
    <row r="746" spans="9:10" ht="15.75" customHeight="1">
      <c r="I746" s="120"/>
      <c r="J746" s="211"/>
    </row>
    <row r="747" spans="9:10" ht="15.75" customHeight="1">
      <c r="I747" s="120"/>
      <c r="J747" s="211"/>
    </row>
    <row r="748" spans="9:10" ht="15.75" customHeight="1">
      <c r="I748" s="120"/>
      <c r="J748" s="211"/>
    </row>
    <row r="749" spans="9:10" ht="15.75" customHeight="1">
      <c r="I749" s="120"/>
      <c r="J749" s="211"/>
    </row>
    <row r="750" spans="9:10" ht="15.75" customHeight="1">
      <c r="I750" s="120"/>
      <c r="J750" s="211"/>
    </row>
    <row r="751" spans="9:10" ht="15.75" customHeight="1">
      <c r="I751" s="120"/>
      <c r="J751" s="211"/>
    </row>
    <row r="752" spans="9:10" ht="15.75" customHeight="1">
      <c r="I752" s="120"/>
      <c r="J752" s="211"/>
    </row>
    <row r="753" spans="9:10" ht="15.75" customHeight="1">
      <c r="I753" s="120"/>
      <c r="J753" s="211"/>
    </row>
    <row r="754" spans="9:10" ht="15.75" customHeight="1">
      <c r="I754" s="120"/>
      <c r="J754" s="211"/>
    </row>
    <row r="755" spans="9:10" ht="15.75" customHeight="1">
      <c r="I755" s="120"/>
      <c r="J755" s="211"/>
    </row>
    <row r="756" spans="9:10" ht="15.75" customHeight="1">
      <c r="I756" s="120"/>
      <c r="J756" s="211"/>
    </row>
    <row r="757" spans="9:10" ht="15.75" customHeight="1">
      <c r="I757" s="120"/>
      <c r="J757" s="211"/>
    </row>
    <row r="758" spans="9:10" ht="15.75" customHeight="1">
      <c r="I758" s="120"/>
      <c r="J758" s="211"/>
    </row>
    <row r="759" spans="9:10" ht="15.75" customHeight="1">
      <c r="I759" s="120"/>
      <c r="J759" s="211"/>
    </row>
    <row r="760" spans="9:10" ht="15.75" customHeight="1">
      <c r="I760" s="120"/>
      <c r="J760" s="211"/>
    </row>
    <row r="761" spans="9:10" ht="15.75" customHeight="1">
      <c r="I761" s="120"/>
      <c r="J761" s="211"/>
    </row>
    <row r="762" spans="9:10" ht="15.75" customHeight="1">
      <c r="I762" s="120"/>
      <c r="J762" s="211"/>
    </row>
    <row r="763" spans="9:10" ht="15.75" customHeight="1">
      <c r="I763" s="120"/>
      <c r="J763" s="211"/>
    </row>
    <row r="764" spans="9:10" ht="15.75" customHeight="1">
      <c r="I764" s="120"/>
      <c r="J764" s="211"/>
    </row>
    <row r="765" spans="9:10" ht="15.75" customHeight="1">
      <c r="I765" s="120"/>
      <c r="J765" s="211"/>
    </row>
    <row r="766" spans="9:10" ht="15.75" customHeight="1">
      <c r="I766" s="120"/>
      <c r="J766" s="211"/>
    </row>
    <row r="767" spans="9:10" ht="15.75" customHeight="1">
      <c r="I767" s="120"/>
      <c r="J767" s="211"/>
    </row>
    <row r="768" spans="9:10" ht="15.75" customHeight="1">
      <c r="I768" s="120"/>
      <c r="J768" s="211"/>
    </row>
    <row r="769" spans="9:10" ht="15.75" customHeight="1">
      <c r="I769" s="120"/>
      <c r="J769" s="211"/>
    </row>
    <row r="770" spans="9:10" ht="15.75" customHeight="1">
      <c r="I770" s="120"/>
      <c r="J770" s="211"/>
    </row>
    <row r="771" spans="9:10" ht="15.75" customHeight="1">
      <c r="I771" s="120"/>
      <c r="J771" s="211"/>
    </row>
    <row r="772" spans="9:10" ht="15.75" customHeight="1">
      <c r="I772" s="120"/>
      <c r="J772" s="211"/>
    </row>
    <row r="773" spans="9:10" ht="15.75" customHeight="1">
      <c r="I773" s="120"/>
      <c r="J773" s="211"/>
    </row>
    <row r="774" spans="9:10" ht="15.75" customHeight="1">
      <c r="I774" s="120"/>
      <c r="J774" s="211"/>
    </row>
    <row r="775" spans="9:10" ht="15.75" customHeight="1">
      <c r="I775" s="120"/>
      <c r="J775" s="211"/>
    </row>
    <row r="776" spans="9:10" ht="15.75" customHeight="1">
      <c r="I776" s="120"/>
      <c r="J776" s="211"/>
    </row>
    <row r="777" spans="9:10" ht="15.75" customHeight="1">
      <c r="I777" s="120"/>
      <c r="J777" s="211"/>
    </row>
    <row r="778" spans="9:10" ht="15.75" customHeight="1">
      <c r="I778" s="120"/>
      <c r="J778" s="211"/>
    </row>
    <row r="779" spans="9:10" ht="15.75" customHeight="1">
      <c r="I779" s="120"/>
      <c r="J779" s="211"/>
    </row>
    <row r="780" spans="9:10" ht="15.75" customHeight="1">
      <c r="I780" s="120"/>
      <c r="J780" s="211"/>
    </row>
    <row r="781" spans="9:10" ht="15.75" customHeight="1">
      <c r="I781" s="120"/>
      <c r="J781" s="211"/>
    </row>
    <row r="782" spans="9:10" ht="15.75" customHeight="1">
      <c r="I782" s="120"/>
      <c r="J782" s="211"/>
    </row>
    <row r="783" spans="9:10" ht="15.75" customHeight="1">
      <c r="I783" s="120"/>
      <c r="J783" s="211"/>
    </row>
    <row r="784" spans="9:10" ht="15.75" customHeight="1">
      <c r="I784" s="120"/>
      <c r="J784" s="211"/>
    </row>
    <row r="785" spans="9:10" ht="15.75" customHeight="1">
      <c r="I785" s="120"/>
      <c r="J785" s="211"/>
    </row>
    <row r="786" spans="9:10" ht="15.75" customHeight="1">
      <c r="I786" s="120"/>
      <c r="J786" s="211"/>
    </row>
    <row r="787" spans="9:10" ht="15.75" customHeight="1">
      <c r="I787" s="120"/>
      <c r="J787" s="211"/>
    </row>
    <row r="788" spans="9:10" ht="15.75" customHeight="1">
      <c r="I788" s="120"/>
      <c r="J788" s="211"/>
    </row>
    <row r="789" spans="9:10" ht="15.75" customHeight="1">
      <c r="I789" s="120"/>
      <c r="J789" s="211"/>
    </row>
    <row r="790" spans="9:10" ht="15.75" customHeight="1">
      <c r="I790" s="120"/>
      <c r="J790" s="211"/>
    </row>
    <row r="791" spans="9:10" ht="15.75" customHeight="1">
      <c r="I791" s="120"/>
      <c r="J791" s="211"/>
    </row>
    <row r="792" spans="9:10" ht="15.75" customHeight="1">
      <c r="I792" s="120"/>
      <c r="J792" s="211"/>
    </row>
    <row r="793" spans="9:10" ht="15.75" customHeight="1">
      <c r="I793" s="120"/>
      <c r="J793" s="211"/>
    </row>
    <row r="794" spans="9:10" ht="15.75" customHeight="1">
      <c r="I794" s="120"/>
      <c r="J794" s="211"/>
    </row>
    <row r="795" spans="9:10" ht="15.75" customHeight="1">
      <c r="I795" s="120"/>
      <c r="J795" s="211"/>
    </row>
    <row r="796" spans="9:10" ht="15.75" customHeight="1">
      <c r="I796" s="120"/>
      <c r="J796" s="211"/>
    </row>
    <row r="797" spans="9:10" ht="15.75" customHeight="1">
      <c r="I797" s="120"/>
      <c r="J797" s="211"/>
    </row>
    <row r="798" spans="9:10" ht="15.75" customHeight="1">
      <c r="I798" s="120"/>
      <c r="J798" s="211"/>
    </row>
    <row r="799" spans="9:10" ht="15.75" customHeight="1">
      <c r="I799" s="120"/>
      <c r="J799" s="211"/>
    </row>
    <row r="800" spans="9:10" ht="15.75" customHeight="1">
      <c r="I800" s="120"/>
      <c r="J800" s="211"/>
    </row>
    <row r="801" spans="9:10" ht="15.75" customHeight="1">
      <c r="I801" s="120"/>
      <c r="J801" s="211"/>
    </row>
    <row r="802" spans="9:10" ht="15.75" customHeight="1">
      <c r="I802" s="120"/>
      <c r="J802" s="211"/>
    </row>
    <row r="803" spans="9:10" ht="15.75" customHeight="1">
      <c r="I803" s="120"/>
      <c r="J803" s="211"/>
    </row>
    <row r="804" spans="9:10" ht="15.75" customHeight="1">
      <c r="I804" s="120"/>
      <c r="J804" s="211"/>
    </row>
    <row r="805" spans="9:10" ht="15.75" customHeight="1">
      <c r="I805" s="120"/>
      <c r="J805" s="211"/>
    </row>
    <row r="806" spans="9:10" ht="15.75" customHeight="1">
      <c r="I806" s="120"/>
      <c r="J806" s="211"/>
    </row>
    <row r="807" spans="9:10" ht="15.75" customHeight="1">
      <c r="I807" s="120"/>
      <c r="J807" s="211"/>
    </row>
    <row r="808" spans="9:10" ht="15.75" customHeight="1">
      <c r="I808" s="120"/>
      <c r="J808" s="211"/>
    </row>
    <row r="809" spans="9:10" ht="15.75" customHeight="1">
      <c r="I809" s="120"/>
      <c r="J809" s="211"/>
    </row>
    <row r="810" spans="9:10" ht="15.75" customHeight="1">
      <c r="I810" s="120"/>
      <c r="J810" s="211"/>
    </row>
    <row r="811" spans="9:10" ht="15.75" customHeight="1">
      <c r="I811" s="120"/>
      <c r="J811" s="211"/>
    </row>
    <row r="812" spans="9:10" ht="15.75" customHeight="1">
      <c r="I812" s="120"/>
      <c r="J812" s="211"/>
    </row>
    <row r="813" spans="9:10" ht="15.75" customHeight="1">
      <c r="I813" s="120"/>
      <c r="J813" s="211"/>
    </row>
    <row r="814" spans="9:10" ht="15.75" customHeight="1">
      <c r="I814" s="120"/>
      <c r="J814" s="211"/>
    </row>
    <row r="815" spans="9:10" ht="15.75" customHeight="1">
      <c r="I815" s="120"/>
      <c r="J815" s="211"/>
    </row>
    <row r="816" spans="9:10" ht="15.75" customHeight="1">
      <c r="I816" s="120"/>
      <c r="J816" s="211"/>
    </row>
    <row r="817" spans="9:10" ht="15.75" customHeight="1">
      <c r="I817" s="120"/>
      <c r="J817" s="211"/>
    </row>
    <row r="818" spans="9:10" ht="15.75" customHeight="1">
      <c r="I818" s="120"/>
      <c r="J818" s="211"/>
    </row>
    <row r="819" spans="9:10" ht="15.75" customHeight="1">
      <c r="I819" s="120"/>
      <c r="J819" s="211"/>
    </row>
    <row r="820" spans="9:10" ht="15.75" customHeight="1">
      <c r="I820" s="120"/>
      <c r="J820" s="211"/>
    </row>
    <row r="821" spans="9:10" ht="15.75" customHeight="1">
      <c r="I821" s="120"/>
      <c r="J821" s="211"/>
    </row>
    <row r="822" spans="9:10" ht="15.75" customHeight="1">
      <c r="I822" s="120"/>
      <c r="J822" s="211"/>
    </row>
    <row r="823" spans="9:10" ht="15.75" customHeight="1">
      <c r="I823" s="120"/>
      <c r="J823" s="211"/>
    </row>
    <row r="824" spans="9:10" ht="15.75" customHeight="1">
      <c r="I824" s="120"/>
      <c r="J824" s="211"/>
    </row>
    <row r="825" spans="9:10" ht="15.75" customHeight="1">
      <c r="I825" s="120"/>
      <c r="J825" s="211"/>
    </row>
    <row r="826" spans="9:10" ht="15.75" customHeight="1">
      <c r="I826" s="120"/>
      <c r="J826" s="211"/>
    </row>
    <row r="827" spans="9:10" ht="15.75" customHeight="1">
      <c r="I827" s="120"/>
      <c r="J827" s="211"/>
    </row>
    <row r="828" spans="9:10" ht="15.75" customHeight="1">
      <c r="I828" s="120"/>
      <c r="J828" s="211"/>
    </row>
    <row r="829" spans="9:10" ht="15.75" customHeight="1">
      <c r="I829" s="120"/>
      <c r="J829" s="211"/>
    </row>
    <row r="830" spans="9:10" ht="15.75" customHeight="1">
      <c r="I830" s="120"/>
      <c r="J830" s="211"/>
    </row>
    <row r="831" spans="9:10" ht="15.75" customHeight="1">
      <c r="I831" s="120"/>
      <c r="J831" s="211"/>
    </row>
    <row r="832" spans="9:10" ht="15.75" customHeight="1">
      <c r="I832" s="120"/>
      <c r="J832" s="211"/>
    </row>
    <row r="833" spans="9:10" ht="15.75" customHeight="1">
      <c r="I833" s="120"/>
      <c r="J833" s="211"/>
    </row>
    <row r="834" spans="9:10" ht="15.75" customHeight="1">
      <c r="I834" s="120"/>
      <c r="J834" s="211"/>
    </row>
    <row r="835" spans="9:10" ht="15.75" customHeight="1">
      <c r="I835" s="120"/>
      <c r="J835" s="211"/>
    </row>
    <row r="836" spans="9:10" ht="15.75" customHeight="1">
      <c r="I836" s="120"/>
      <c r="J836" s="211"/>
    </row>
    <row r="837" spans="9:10" ht="15.75" customHeight="1">
      <c r="I837" s="120"/>
      <c r="J837" s="211"/>
    </row>
    <row r="838" spans="9:10" ht="15.75" customHeight="1">
      <c r="I838" s="120"/>
      <c r="J838" s="211"/>
    </row>
    <row r="839" spans="9:10" ht="15.75" customHeight="1">
      <c r="I839" s="120"/>
      <c r="J839" s="211"/>
    </row>
    <row r="840" spans="9:10" ht="15.75" customHeight="1">
      <c r="I840" s="120"/>
      <c r="J840" s="211"/>
    </row>
    <row r="841" spans="9:10" ht="15.75" customHeight="1">
      <c r="I841" s="120"/>
      <c r="J841" s="211"/>
    </row>
    <row r="842" spans="9:10" ht="15.75" customHeight="1">
      <c r="I842" s="120"/>
      <c r="J842" s="211"/>
    </row>
    <row r="843" spans="9:10" ht="15.75" customHeight="1">
      <c r="I843" s="120"/>
      <c r="J843" s="211"/>
    </row>
    <row r="844" spans="9:10" ht="15.75" customHeight="1">
      <c r="I844" s="120"/>
      <c r="J844" s="211"/>
    </row>
    <row r="845" spans="9:10" ht="15.75" customHeight="1">
      <c r="I845" s="120"/>
      <c r="J845" s="211"/>
    </row>
    <row r="846" spans="9:10" ht="15.75" customHeight="1">
      <c r="I846" s="120"/>
      <c r="J846" s="211"/>
    </row>
    <row r="847" spans="9:10" ht="15.75" customHeight="1">
      <c r="I847" s="120"/>
      <c r="J847" s="211"/>
    </row>
    <row r="848" spans="9:10" ht="15.75" customHeight="1">
      <c r="I848" s="120"/>
      <c r="J848" s="211"/>
    </row>
    <row r="849" spans="9:10" ht="15.75" customHeight="1">
      <c r="I849" s="120"/>
      <c r="J849" s="211"/>
    </row>
    <row r="850" spans="9:10" ht="15.75" customHeight="1">
      <c r="I850" s="120"/>
      <c r="J850" s="211"/>
    </row>
    <row r="851" spans="9:10" ht="15.75" customHeight="1">
      <c r="I851" s="120"/>
      <c r="J851" s="211"/>
    </row>
    <row r="852" spans="9:10" ht="15.75" customHeight="1">
      <c r="I852" s="120"/>
      <c r="J852" s="211"/>
    </row>
    <row r="853" spans="9:10" ht="15.75" customHeight="1">
      <c r="I853" s="120"/>
      <c r="J853" s="211"/>
    </row>
    <row r="854" spans="9:10" ht="15.75" customHeight="1">
      <c r="I854" s="120"/>
      <c r="J854" s="211"/>
    </row>
    <row r="855" spans="9:10" ht="15.75" customHeight="1">
      <c r="I855" s="120"/>
      <c r="J855" s="211"/>
    </row>
    <row r="856" spans="9:10" ht="15.75" customHeight="1">
      <c r="I856" s="120"/>
      <c r="J856" s="211"/>
    </row>
    <row r="857" spans="9:10" ht="15.75" customHeight="1">
      <c r="I857" s="120"/>
      <c r="J857" s="211"/>
    </row>
    <row r="858" spans="9:10" ht="15.75" customHeight="1">
      <c r="I858" s="120"/>
      <c r="J858" s="211"/>
    </row>
    <row r="859" spans="9:10" ht="15.75" customHeight="1">
      <c r="I859" s="120"/>
      <c r="J859" s="211"/>
    </row>
    <row r="860" spans="9:10" ht="15.75" customHeight="1">
      <c r="I860" s="120"/>
      <c r="J860" s="211"/>
    </row>
    <row r="861" spans="9:10" ht="15.75" customHeight="1">
      <c r="I861" s="120"/>
      <c r="J861" s="211"/>
    </row>
    <row r="862" spans="9:10" ht="15.75" customHeight="1">
      <c r="I862" s="120"/>
      <c r="J862" s="211"/>
    </row>
    <row r="863" spans="9:10" ht="15.75" customHeight="1">
      <c r="I863" s="120"/>
      <c r="J863" s="211"/>
    </row>
    <row r="864" spans="9:10" ht="15.75" customHeight="1">
      <c r="I864" s="120"/>
      <c r="J864" s="211"/>
    </row>
    <row r="865" spans="9:10" ht="15.75" customHeight="1">
      <c r="I865" s="120"/>
      <c r="J865" s="211"/>
    </row>
    <row r="866" spans="9:10" ht="15.75" customHeight="1">
      <c r="I866" s="120"/>
      <c r="J866" s="211"/>
    </row>
    <row r="867" spans="9:10" ht="15.75" customHeight="1">
      <c r="I867" s="120"/>
      <c r="J867" s="211"/>
    </row>
    <row r="868" spans="9:10" ht="15.75" customHeight="1">
      <c r="I868" s="120"/>
      <c r="J868" s="211"/>
    </row>
    <row r="869" spans="9:10" ht="15.75" customHeight="1">
      <c r="I869" s="120"/>
      <c r="J869" s="211"/>
    </row>
    <row r="870" spans="9:10" ht="15.75" customHeight="1">
      <c r="I870" s="120"/>
      <c r="J870" s="211"/>
    </row>
    <row r="871" spans="9:10" ht="15.75" customHeight="1">
      <c r="I871" s="120"/>
      <c r="J871" s="211"/>
    </row>
    <row r="872" spans="9:10" ht="15.75" customHeight="1">
      <c r="I872" s="120"/>
      <c r="J872" s="211"/>
    </row>
    <row r="873" spans="9:10" ht="15.75" customHeight="1">
      <c r="I873" s="120"/>
      <c r="J873" s="211"/>
    </row>
    <row r="874" spans="9:10" ht="15.75" customHeight="1">
      <c r="I874" s="120"/>
      <c r="J874" s="211"/>
    </row>
    <row r="875" spans="9:10" ht="15.75" customHeight="1">
      <c r="I875" s="120"/>
      <c r="J875" s="211"/>
    </row>
    <row r="876" spans="9:10" ht="15.75" customHeight="1">
      <c r="I876" s="120"/>
      <c r="J876" s="211"/>
    </row>
    <row r="877" spans="9:10" ht="15.75" customHeight="1">
      <c r="I877" s="120"/>
      <c r="J877" s="211"/>
    </row>
    <row r="878" spans="9:10" ht="15.75" customHeight="1">
      <c r="I878" s="120"/>
      <c r="J878" s="211"/>
    </row>
    <row r="879" spans="9:10" ht="15.75" customHeight="1">
      <c r="I879" s="120"/>
      <c r="J879" s="211"/>
    </row>
    <row r="880" spans="9:10" ht="15.75" customHeight="1">
      <c r="I880" s="120"/>
      <c r="J880" s="211"/>
    </row>
    <row r="881" spans="9:10" ht="15.75" customHeight="1">
      <c r="I881" s="120"/>
      <c r="J881" s="211"/>
    </row>
    <row r="882" spans="9:10" ht="15.75" customHeight="1">
      <c r="I882" s="120"/>
      <c r="J882" s="211"/>
    </row>
    <row r="883" spans="9:10" ht="15.75" customHeight="1">
      <c r="I883" s="120"/>
      <c r="J883" s="211"/>
    </row>
    <row r="884" spans="9:10" ht="15.75" customHeight="1">
      <c r="I884" s="120"/>
      <c r="J884" s="211"/>
    </row>
    <row r="885" spans="9:10" ht="15.75" customHeight="1">
      <c r="I885" s="120"/>
      <c r="J885" s="211"/>
    </row>
    <row r="886" spans="9:10" ht="15.75" customHeight="1">
      <c r="I886" s="120"/>
      <c r="J886" s="211"/>
    </row>
    <row r="887" spans="9:10" ht="15.75" customHeight="1">
      <c r="I887" s="120"/>
      <c r="J887" s="211"/>
    </row>
    <row r="888" spans="9:10" ht="15.75" customHeight="1">
      <c r="I888" s="120"/>
      <c r="J888" s="211"/>
    </row>
    <row r="889" spans="9:10" ht="15.75" customHeight="1">
      <c r="I889" s="120"/>
      <c r="J889" s="211"/>
    </row>
    <row r="890" spans="9:10" ht="15.75" customHeight="1">
      <c r="I890" s="120"/>
      <c r="J890" s="211"/>
    </row>
    <row r="891" spans="9:10" ht="15.75" customHeight="1">
      <c r="I891" s="120"/>
      <c r="J891" s="211"/>
    </row>
    <row r="892" spans="9:10" ht="15.75" customHeight="1">
      <c r="I892" s="120"/>
      <c r="J892" s="211"/>
    </row>
    <row r="893" spans="9:10" ht="15.75" customHeight="1">
      <c r="I893" s="120"/>
      <c r="J893" s="211"/>
    </row>
    <row r="894" spans="9:10" ht="15.75" customHeight="1">
      <c r="I894" s="120"/>
      <c r="J894" s="211"/>
    </row>
    <row r="895" spans="9:10" ht="15.75" customHeight="1">
      <c r="I895" s="120"/>
      <c r="J895" s="211"/>
    </row>
    <row r="896" spans="9:10" ht="15.75" customHeight="1">
      <c r="I896" s="120"/>
      <c r="J896" s="211"/>
    </row>
    <row r="897" spans="9:10" ht="15.75" customHeight="1">
      <c r="I897" s="120"/>
      <c r="J897" s="211"/>
    </row>
    <row r="898" spans="9:10" ht="15.75" customHeight="1">
      <c r="I898" s="120"/>
      <c r="J898" s="211"/>
    </row>
    <row r="899" spans="9:10" ht="15.75" customHeight="1">
      <c r="I899" s="120"/>
      <c r="J899" s="211"/>
    </row>
    <row r="900" spans="9:10" ht="15.75" customHeight="1">
      <c r="I900" s="120"/>
      <c r="J900" s="211"/>
    </row>
    <row r="901" spans="9:10" ht="15.75" customHeight="1">
      <c r="I901" s="120"/>
      <c r="J901" s="211"/>
    </row>
    <row r="902" spans="9:10" ht="15.75" customHeight="1">
      <c r="I902" s="120"/>
      <c r="J902" s="211"/>
    </row>
    <row r="903" spans="9:10" ht="15.75" customHeight="1">
      <c r="I903" s="120"/>
      <c r="J903" s="211"/>
    </row>
    <row r="904" spans="9:10" ht="15.75" customHeight="1">
      <c r="I904" s="120"/>
      <c r="J904" s="211"/>
    </row>
    <row r="905" spans="9:10" ht="15.75" customHeight="1">
      <c r="I905" s="120"/>
      <c r="J905" s="211"/>
    </row>
    <row r="906" spans="9:10" ht="15.75" customHeight="1">
      <c r="I906" s="120"/>
      <c r="J906" s="211"/>
    </row>
    <row r="907" spans="9:10" ht="15.75" customHeight="1">
      <c r="I907" s="120"/>
      <c r="J907" s="211"/>
    </row>
    <row r="908" spans="9:10" ht="15.75" customHeight="1">
      <c r="I908" s="120"/>
      <c r="J908" s="211"/>
    </row>
    <row r="909" spans="9:10" ht="15.75" customHeight="1">
      <c r="I909" s="120"/>
      <c r="J909" s="211"/>
    </row>
    <row r="910" spans="9:10" ht="15.75" customHeight="1">
      <c r="I910" s="120"/>
      <c r="J910" s="211"/>
    </row>
    <row r="911" spans="9:10" ht="15.75" customHeight="1">
      <c r="I911" s="120"/>
      <c r="J911" s="211"/>
    </row>
    <row r="912" spans="9:10" ht="15.75" customHeight="1">
      <c r="I912" s="120"/>
      <c r="J912" s="211"/>
    </row>
    <row r="913" spans="9:10" ht="15.75" customHeight="1">
      <c r="I913" s="120"/>
      <c r="J913" s="211"/>
    </row>
    <row r="914" spans="9:10" ht="15.75" customHeight="1">
      <c r="I914" s="120"/>
      <c r="J914" s="211"/>
    </row>
    <row r="915" spans="9:10" ht="15.75" customHeight="1">
      <c r="I915" s="120"/>
      <c r="J915" s="211"/>
    </row>
    <row r="916" spans="9:10" ht="15.75" customHeight="1">
      <c r="I916" s="120"/>
      <c r="J916" s="211"/>
    </row>
    <row r="917" spans="9:10" ht="15.75" customHeight="1">
      <c r="I917" s="120"/>
      <c r="J917" s="211"/>
    </row>
    <row r="918" spans="9:10" ht="15.75" customHeight="1">
      <c r="I918" s="120"/>
      <c r="J918" s="211"/>
    </row>
    <row r="919" spans="9:10" ht="15.75" customHeight="1">
      <c r="I919" s="120"/>
      <c r="J919" s="211"/>
    </row>
    <row r="920" spans="9:10" ht="15.75" customHeight="1">
      <c r="I920" s="120"/>
      <c r="J920" s="211"/>
    </row>
    <row r="921" spans="9:10" ht="15.75" customHeight="1">
      <c r="I921" s="120"/>
      <c r="J921" s="211"/>
    </row>
    <row r="922" spans="9:10" ht="15.75" customHeight="1">
      <c r="I922" s="120"/>
      <c r="J922" s="211"/>
    </row>
    <row r="923" spans="9:10" ht="15.75" customHeight="1">
      <c r="I923" s="120"/>
      <c r="J923" s="211"/>
    </row>
    <row r="924" spans="9:10" ht="15.75" customHeight="1">
      <c r="I924" s="120"/>
      <c r="J924" s="211"/>
    </row>
    <row r="925" spans="9:10" ht="15.75" customHeight="1">
      <c r="I925" s="120"/>
      <c r="J925" s="211"/>
    </row>
    <row r="926" spans="9:10" ht="15.75" customHeight="1">
      <c r="I926" s="120"/>
      <c r="J926" s="211"/>
    </row>
    <row r="927" spans="9:10" ht="15.75" customHeight="1">
      <c r="I927" s="120"/>
      <c r="J927" s="211"/>
    </row>
    <row r="928" spans="9:10" ht="15.75" customHeight="1">
      <c r="I928" s="120"/>
      <c r="J928" s="211"/>
    </row>
    <row r="929" spans="9:10" ht="15.75" customHeight="1">
      <c r="I929" s="120"/>
      <c r="J929" s="211"/>
    </row>
    <row r="930" spans="9:10" ht="15.75" customHeight="1">
      <c r="I930" s="120"/>
      <c r="J930" s="211"/>
    </row>
    <row r="931" spans="9:10" ht="15.75" customHeight="1">
      <c r="I931" s="120"/>
      <c r="J931" s="211"/>
    </row>
    <row r="932" spans="9:10" ht="15.75" customHeight="1">
      <c r="I932" s="120"/>
      <c r="J932" s="211"/>
    </row>
    <row r="933" spans="9:10" ht="15.75" customHeight="1">
      <c r="I933" s="120"/>
      <c r="J933" s="211"/>
    </row>
    <row r="934" spans="9:10" ht="15.75" customHeight="1">
      <c r="I934" s="120"/>
      <c r="J934" s="211"/>
    </row>
    <row r="935" spans="9:10" ht="15.75" customHeight="1">
      <c r="I935" s="120"/>
      <c r="J935" s="211"/>
    </row>
    <row r="936" spans="9:10" ht="15.75" customHeight="1">
      <c r="I936" s="120"/>
      <c r="J936" s="211"/>
    </row>
    <row r="937" spans="9:10" ht="15.75" customHeight="1">
      <c r="I937" s="120"/>
      <c r="J937" s="211"/>
    </row>
    <row r="938" spans="9:10" ht="15.75" customHeight="1">
      <c r="I938" s="120"/>
      <c r="J938" s="211"/>
    </row>
    <row r="939" spans="9:10" ht="15.75" customHeight="1">
      <c r="I939" s="120"/>
      <c r="J939" s="211"/>
    </row>
    <row r="940" spans="9:10" ht="15.75" customHeight="1">
      <c r="I940" s="120"/>
      <c r="J940" s="211"/>
    </row>
    <row r="941" spans="9:10" ht="15.75" customHeight="1">
      <c r="I941" s="120"/>
      <c r="J941" s="211"/>
    </row>
    <row r="942" spans="9:10" ht="15.75" customHeight="1">
      <c r="I942" s="120"/>
      <c r="J942" s="211"/>
    </row>
    <row r="943" spans="9:10" ht="15.75" customHeight="1">
      <c r="I943" s="120"/>
      <c r="J943" s="211"/>
    </row>
    <row r="944" spans="9:10" ht="15.75" customHeight="1">
      <c r="I944" s="120"/>
      <c r="J944" s="211"/>
    </row>
    <row r="945" spans="9:10" ht="15.75" customHeight="1">
      <c r="I945" s="120"/>
      <c r="J945" s="211"/>
    </row>
    <row r="946" spans="9:10" ht="15.75" customHeight="1">
      <c r="I946" s="120"/>
      <c r="J946" s="211"/>
    </row>
    <row r="947" spans="9:10" ht="15.75" customHeight="1">
      <c r="I947" s="120"/>
      <c r="J947" s="211"/>
    </row>
    <row r="948" spans="9:10" ht="15.75" customHeight="1">
      <c r="I948" s="120"/>
      <c r="J948" s="211"/>
    </row>
    <row r="949" spans="9:10" ht="15.75" customHeight="1">
      <c r="I949" s="120"/>
      <c r="J949" s="211"/>
    </row>
    <row r="950" spans="9:10" ht="15.75" customHeight="1">
      <c r="I950" s="120"/>
      <c r="J950" s="211"/>
    </row>
    <row r="951" spans="9:10" ht="15.75" customHeight="1">
      <c r="I951" s="120"/>
      <c r="J951" s="211"/>
    </row>
    <row r="952" spans="9:10" ht="15.75" customHeight="1">
      <c r="I952" s="120"/>
      <c r="J952" s="211"/>
    </row>
    <row r="953" spans="9:10" ht="15.75" customHeight="1">
      <c r="I953" s="120"/>
      <c r="J953" s="211"/>
    </row>
    <row r="954" spans="9:10" ht="15.75" customHeight="1">
      <c r="I954" s="120"/>
      <c r="J954" s="211"/>
    </row>
    <row r="955" spans="9:10" ht="15.75" customHeight="1">
      <c r="I955" s="120"/>
      <c r="J955" s="211"/>
    </row>
    <row r="956" spans="9:10" ht="15.75" customHeight="1">
      <c r="I956" s="120"/>
      <c r="J956" s="211"/>
    </row>
    <row r="957" spans="9:10" ht="15.75" customHeight="1">
      <c r="I957" s="120"/>
      <c r="J957" s="211"/>
    </row>
    <row r="958" spans="9:10" ht="15.75" customHeight="1">
      <c r="I958" s="120"/>
      <c r="J958" s="211"/>
    </row>
    <row r="959" spans="9:10" ht="15.75" customHeight="1">
      <c r="I959" s="120"/>
      <c r="J959" s="211"/>
    </row>
    <row r="960" spans="9:10" ht="15.75" customHeight="1">
      <c r="I960" s="120"/>
      <c r="J960" s="211"/>
    </row>
    <row r="961" spans="9:10" ht="15.75" customHeight="1">
      <c r="I961" s="120"/>
      <c r="J961" s="211"/>
    </row>
    <row r="962" spans="9:10" ht="15.75" customHeight="1">
      <c r="I962" s="120"/>
      <c r="J962" s="211"/>
    </row>
    <row r="963" spans="9:10" ht="15.75" customHeight="1">
      <c r="I963" s="120"/>
      <c r="J963" s="211"/>
    </row>
    <row r="964" spans="9:10" ht="15.75" customHeight="1">
      <c r="I964" s="120"/>
      <c r="J964" s="211"/>
    </row>
    <row r="965" spans="9:10" ht="15.75" customHeight="1">
      <c r="I965" s="120"/>
      <c r="J965" s="211"/>
    </row>
    <row r="966" spans="9:10" ht="15.75" customHeight="1">
      <c r="I966" s="120"/>
      <c r="J966" s="211"/>
    </row>
    <row r="967" spans="9:10" ht="15.75" customHeight="1">
      <c r="I967" s="120"/>
      <c r="J967" s="211"/>
    </row>
    <row r="968" spans="9:10" ht="15.75" customHeight="1">
      <c r="I968" s="120"/>
      <c r="J968" s="211"/>
    </row>
    <row r="969" spans="9:10" ht="15.75" customHeight="1">
      <c r="I969" s="120"/>
      <c r="J969" s="211"/>
    </row>
    <row r="970" spans="9:10" ht="15.75" customHeight="1">
      <c r="I970" s="120"/>
      <c r="J970" s="211"/>
    </row>
    <row r="971" spans="9:10" ht="15.75" customHeight="1">
      <c r="I971" s="120"/>
      <c r="J971" s="211"/>
    </row>
    <row r="972" spans="9:10" ht="15.75" customHeight="1">
      <c r="I972" s="120"/>
      <c r="J972" s="211"/>
    </row>
    <row r="973" spans="9:10" ht="15.75" customHeight="1">
      <c r="I973" s="120"/>
      <c r="J973" s="211"/>
    </row>
    <row r="974" spans="9:10" ht="15.75" customHeight="1">
      <c r="I974" s="120"/>
      <c r="J974" s="211"/>
    </row>
    <row r="975" spans="9:10" ht="15.75" customHeight="1">
      <c r="I975" s="120"/>
      <c r="J975" s="211"/>
    </row>
    <row r="976" spans="9:10" ht="15.75" customHeight="1">
      <c r="I976" s="120"/>
      <c r="J976" s="211"/>
    </row>
    <row r="977" spans="9:10" ht="15.75" customHeight="1">
      <c r="I977" s="120"/>
      <c r="J977" s="211"/>
    </row>
    <row r="978" spans="9:10" ht="15.75" customHeight="1">
      <c r="I978" s="120"/>
      <c r="J978" s="211"/>
    </row>
    <row r="979" spans="9:10" ht="15.75" customHeight="1">
      <c r="I979" s="120"/>
      <c r="J979" s="211"/>
    </row>
    <row r="980" spans="9:10" ht="15.75" customHeight="1">
      <c r="I980" s="120"/>
      <c r="J980" s="211"/>
    </row>
    <row r="981" spans="9:10" ht="15.75" customHeight="1">
      <c r="I981" s="120"/>
      <c r="J981" s="211"/>
    </row>
    <row r="982" spans="9:10" ht="15.75" customHeight="1">
      <c r="I982" s="120"/>
      <c r="J982" s="211"/>
    </row>
    <row r="983" spans="9:10" ht="15.75" customHeight="1">
      <c r="I983" s="120"/>
      <c r="J983" s="211"/>
    </row>
    <row r="984" spans="9:10" ht="15.75" customHeight="1">
      <c r="I984" s="120"/>
      <c r="J984" s="211"/>
    </row>
    <row r="985" spans="9:10" ht="15.75" customHeight="1">
      <c r="I985" s="120"/>
      <c r="J985" s="211"/>
    </row>
    <row r="986" spans="9:10" ht="15.75" customHeight="1">
      <c r="I986" s="120"/>
      <c r="J986" s="211"/>
    </row>
    <row r="987" spans="9:10" ht="15.75" customHeight="1">
      <c r="I987" s="120"/>
      <c r="J987" s="211"/>
    </row>
    <row r="988" spans="9:10" ht="15.75" customHeight="1">
      <c r="I988" s="120"/>
      <c r="J988" s="211"/>
    </row>
    <row r="989" spans="9:10" ht="15.75" customHeight="1">
      <c r="I989" s="120"/>
      <c r="J989" s="211"/>
    </row>
    <row r="990" spans="9:10" ht="15.75" customHeight="1">
      <c r="I990" s="120"/>
      <c r="J990" s="211"/>
    </row>
    <row r="991" spans="9:10" ht="15.75" customHeight="1">
      <c r="I991" s="120"/>
      <c r="J991" s="211"/>
    </row>
    <row r="992" spans="9:10" ht="15.75" customHeight="1">
      <c r="I992" s="120"/>
      <c r="J992" s="211"/>
    </row>
    <row r="993" spans="9:10" ht="15.75" customHeight="1">
      <c r="I993" s="120"/>
      <c r="J993" s="211"/>
    </row>
    <row r="994" spans="9:10" ht="15.75" customHeight="1">
      <c r="I994" s="120"/>
      <c r="J994" s="211"/>
    </row>
    <row r="995" spans="9:10" ht="15.75" customHeight="1">
      <c r="I995" s="120"/>
      <c r="J995" s="211"/>
    </row>
    <row r="996" spans="9:10" ht="15.75" customHeight="1">
      <c r="I996" s="120"/>
      <c r="J996" s="211"/>
    </row>
    <row r="997" spans="9:10" ht="15.75" customHeight="1">
      <c r="I997" s="120"/>
      <c r="J997" s="211"/>
    </row>
    <row r="998" spans="9:10" ht="15.75" customHeight="1">
      <c r="I998" s="120"/>
      <c r="J998" s="211"/>
    </row>
    <row r="999" spans="9:10" ht="15.75" customHeight="1">
      <c r="I999" s="120"/>
      <c r="J999" s="211"/>
    </row>
    <row r="1000" spans="9:10" ht="15.75" customHeight="1">
      <c r="I1000" s="120"/>
      <c r="J1000" s="211"/>
    </row>
    <row r="1001" spans="9:10" ht="15.75" customHeight="1">
      <c r="I1001" s="120"/>
      <c r="J1001" s="211"/>
    </row>
    <row r="1002" spans="9:10" ht="15.75" customHeight="1">
      <c r="I1002" s="120"/>
      <c r="J1002" s="211"/>
    </row>
  </sheetData>
  <mergeCells count="15">
    <mergeCell ref="C113:D113"/>
    <mergeCell ref="B72:G72"/>
    <mergeCell ref="C109:D109"/>
    <mergeCell ref="B8:G8"/>
    <mergeCell ref="B24:G24"/>
    <mergeCell ref="B64:G64"/>
    <mergeCell ref="B80:G80"/>
    <mergeCell ref="B32:G32"/>
    <mergeCell ref="B88:G88"/>
    <mergeCell ref="B40:G40"/>
    <mergeCell ref="C111:D111"/>
    <mergeCell ref="B56:G56"/>
    <mergeCell ref="B48:G48"/>
    <mergeCell ref="B16:G16"/>
    <mergeCell ref="B96:G96"/>
  </mergeCells>
  <dataValidations count="1">
    <dataValidation allowBlank="1" sqref="P1:P1048576 L28:L29 L31:O1048576 M28:O30 M3:N4 L1:O1 L5:O27 L2:L4 O2:O4" xr:uid="{60D18B62-2C84-C24D-A653-0F5401292DBD}"/>
  </dataValidations>
  <printOptions horizontalCentered="1" verticalCentered="1"/>
  <pageMargins left="0" right="0" top="0" bottom="0" header="0" footer="0"/>
  <pageSetup scale="41" orientation="portrait"/>
  <headerFooter>
    <oddFooter>&amp;L&amp;A&amp;C&amp;F&amp;R&amp;D&amp;T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850C-B82B-0744-94D4-4AAD485EACF8}">
  <dimension ref="A1:J136"/>
  <sheetViews>
    <sheetView workbookViewId="0">
      <selection activeCell="J137" sqref="J137"/>
    </sheetView>
  </sheetViews>
  <sheetFormatPr baseColWidth="10" defaultRowHeight="16"/>
  <cols>
    <col min="3" max="3" width="12.28515625" customWidth="1"/>
    <col min="4" max="4" width="8" customWidth="1"/>
    <col min="5" max="5" width="8.85546875" customWidth="1"/>
    <col min="6" max="6" width="25" bestFit="1" customWidth="1"/>
    <col min="7" max="7" width="12.42578125" bestFit="1" customWidth="1"/>
    <col min="8" max="8" width="25" bestFit="1" customWidth="1"/>
    <col min="9" max="9" width="12.42578125" bestFit="1" customWidth="1"/>
  </cols>
  <sheetData>
    <row r="1" spans="1:10">
      <c r="A1" s="155" t="s">
        <v>279</v>
      </c>
      <c r="B1" s="155" t="s">
        <v>47</v>
      </c>
      <c r="C1" s="155" t="s">
        <v>280</v>
      </c>
      <c r="D1" s="219" t="s">
        <v>108</v>
      </c>
      <c r="E1" s="219" t="s">
        <v>370</v>
      </c>
      <c r="F1" s="219" t="s">
        <v>434</v>
      </c>
      <c r="G1" s="219" t="s">
        <v>435</v>
      </c>
      <c r="H1" s="219" t="s">
        <v>436</v>
      </c>
      <c r="I1" s="219" t="s">
        <v>437</v>
      </c>
      <c r="J1" s="219" t="s">
        <v>438</v>
      </c>
    </row>
    <row r="2" spans="1:10">
      <c r="A2" t="str">
        <f>'Knock-Out Predictions'!$N$3</f>
        <v>Edward Sherrington</v>
      </c>
      <c r="B2" t="str">
        <f>'Knock-Out Predictions'!$N$4</f>
        <v>3 Lions on the Jersey</v>
      </c>
      <c r="C2" t="s">
        <v>281</v>
      </c>
      <c r="D2" t="s">
        <v>113</v>
      </c>
      <c r="E2" t="s">
        <v>282</v>
      </c>
      <c r="F2" t="str">
        <f>'Knock-Out Predictions'!D9</f>
        <v>Mexico (MEX)</v>
      </c>
      <c r="G2">
        <f>'Knock-Out Predictions'!E9</f>
        <v>1</v>
      </c>
      <c r="H2" t="str">
        <f>'Knock-Out Predictions'!F9</f>
        <v>South Africa (RSA)</v>
      </c>
      <c r="I2">
        <f>'Knock-Out Predictions'!G9</f>
        <v>0</v>
      </c>
    </row>
    <row r="3" spans="1:10">
      <c r="A3" t="str">
        <f>'Knock-Out Predictions'!$N$3</f>
        <v>Edward Sherrington</v>
      </c>
      <c r="B3" t="str">
        <f>'Knock-Out Predictions'!$N$4</f>
        <v>3 Lions on the Jersey</v>
      </c>
      <c r="C3" t="s">
        <v>281</v>
      </c>
      <c r="D3" t="s">
        <v>113</v>
      </c>
      <c r="E3" t="s">
        <v>283</v>
      </c>
      <c r="F3" t="str">
        <f>'Knock-Out Predictions'!D10</f>
        <v>Korea Republic (KOR)</v>
      </c>
      <c r="G3">
        <f>'Knock-Out Predictions'!E10</f>
        <v>0</v>
      </c>
      <c r="H3" t="str">
        <f>'Knock-Out Predictions'!F10</f>
        <v>Czechia (CZE)</v>
      </c>
      <c r="I3">
        <f>'Knock-Out Predictions'!G10</f>
        <v>0</v>
      </c>
    </row>
    <row r="4" spans="1:10">
      <c r="A4" t="str">
        <f>'Knock-Out Predictions'!$N$3</f>
        <v>Edward Sherrington</v>
      </c>
      <c r="B4" t="str">
        <f>'Knock-Out Predictions'!$N$4</f>
        <v>3 Lions on the Jersey</v>
      </c>
      <c r="C4" t="s">
        <v>281</v>
      </c>
      <c r="D4" t="s">
        <v>113</v>
      </c>
      <c r="E4" t="s">
        <v>284</v>
      </c>
      <c r="F4" t="str">
        <f>'Knock-Out Predictions'!D11</f>
        <v>Mexico (MEX)</v>
      </c>
      <c r="G4">
        <f>'Knock-Out Predictions'!E11</f>
        <v>1</v>
      </c>
      <c r="H4" t="str">
        <f>'Knock-Out Predictions'!F11</f>
        <v>Korea Republic (KOR)</v>
      </c>
      <c r="I4">
        <f>'Knock-Out Predictions'!G11</f>
        <v>0</v>
      </c>
    </row>
    <row r="5" spans="1:10">
      <c r="A5" t="str">
        <f>'Knock-Out Predictions'!$N$3</f>
        <v>Edward Sherrington</v>
      </c>
      <c r="B5" t="str">
        <f>'Knock-Out Predictions'!$N$4</f>
        <v>3 Lions on the Jersey</v>
      </c>
      <c r="C5" t="s">
        <v>281</v>
      </c>
      <c r="D5" t="s">
        <v>113</v>
      </c>
      <c r="E5" t="s">
        <v>285</v>
      </c>
      <c r="F5" t="str">
        <f>'Knock-Out Predictions'!D12</f>
        <v>Czechia (CZE)</v>
      </c>
      <c r="G5">
        <f>'Knock-Out Predictions'!E12</f>
        <v>0</v>
      </c>
      <c r="H5" t="str">
        <f>'Knock-Out Predictions'!F12</f>
        <v>South Africa (RSA)</v>
      </c>
      <c r="I5">
        <f>'Knock-Out Predictions'!G12</f>
        <v>0</v>
      </c>
    </row>
    <row r="6" spans="1:10">
      <c r="A6" t="str">
        <f>'Knock-Out Predictions'!$N$3</f>
        <v>Edward Sherrington</v>
      </c>
      <c r="B6" t="str">
        <f>'Knock-Out Predictions'!$N$4</f>
        <v>3 Lions on the Jersey</v>
      </c>
      <c r="C6" t="s">
        <v>281</v>
      </c>
      <c r="D6" t="s">
        <v>113</v>
      </c>
      <c r="E6" t="s">
        <v>286</v>
      </c>
      <c r="F6" t="str">
        <f>'Knock-Out Predictions'!D13</f>
        <v>Czechia (CZE)</v>
      </c>
      <c r="G6">
        <f>'Knock-Out Predictions'!E13</f>
        <v>0</v>
      </c>
      <c r="H6" t="str">
        <f>'Knock-Out Predictions'!F13</f>
        <v>Mexico (MEX)</v>
      </c>
      <c r="I6">
        <f>'Knock-Out Predictions'!G13</f>
        <v>1</v>
      </c>
    </row>
    <row r="7" spans="1:10">
      <c r="A7" t="str">
        <f>'Knock-Out Predictions'!$N$3</f>
        <v>Edward Sherrington</v>
      </c>
      <c r="B7" t="str">
        <f>'Knock-Out Predictions'!$N$4</f>
        <v>3 Lions on the Jersey</v>
      </c>
      <c r="C7" t="s">
        <v>281</v>
      </c>
      <c r="D7" t="s">
        <v>113</v>
      </c>
      <c r="E7" t="s">
        <v>287</v>
      </c>
      <c r="F7" t="str">
        <f>'Knock-Out Predictions'!D14</f>
        <v>South Africa (RSA)</v>
      </c>
      <c r="G7">
        <f>'Knock-Out Predictions'!E14</f>
        <v>0</v>
      </c>
      <c r="H7" t="str">
        <f>'Knock-Out Predictions'!F14</f>
        <v>Korea Republic (KOR)</v>
      </c>
      <c r="I7">
        <f>'Knock-Out Predictions'!G14</f>
        <v>1</v>
      </c>
    </row>
    <row r="8" spans="1:10">
      <c r="A8" t="str">
        <f>'Knock-Out Predictions'!$N$3</f>
        <v>Edward Sherrington</v>
      </c>
      <c r="B8" t="str">
        <f>'Knock-Out Predictions'!$N$4</f>
        <v>3 Lions on the Jersey</v>
      </c>
      <c r="C8" t="s">
        <v>281</v>
      </c>
      <c r="D8" t="s">
        <v>114</v>
      </c>
      <c r="E8" t="s">
        <v>288</v>
      </c>
      <c r="F8" t="str">
        <f>'Knock-Out Predictions'!D17</f>
        <v>Canada (CAN)</v>
      </c>
      <c r="G8">
        <f>'Knock-Out Predictions'!E17</f>
        <v>1</v>
      </c>
      <c r="H8" t="str">
        <f>'Knock-Out Predictions'!F17</f>
        <v>Bosnia and Herzegovina (BIH)</v>
      </c>
      <c r="I8">
        <f>'Knock-Out Predictions'!G17</f>
        <v>0</v>
      </c>
    </row>
    <row r="9" spans="1:10">
      <c r="A9" t="str">
        <f>'Knock-Out Predictions'!$N$3</f>
        <v>Edward Sherrington</v>
      </c>
      <c r="B9" t="str">
        <f>'Knock-Out Predictions'!$N$4</f>
        <v>3 Lions on the Jersey</v>
      </c>
      <c r="C9" t="s">
        <v>281</v>
      </c>
      <c r="D9" t="s">
        <v>114</v>
      </c>
      <c r="E9" t="s">
        <v>289</v>
      </c>
      <c r="F9" t="str">
        <f>'Knock-Out Predictions'!D18</f>
        <v>Qatar (QAT)</v>
      </c>
      <c r="G9">
        <f>'Knock-Out Predictions'!E18</f>
        <v>0</v>
      </c>
      <c r="H9" t="str">
        <f>'Knock-Out Predictions'!F18</f>
        <v>Switzerland (SUI)</v>
      </c>
      <c r="I9">
        <f>'Knock-Out Predictions'!G18</f>
        <v>2</v>
      </c>
    </row>
    <row r="10" spans="1:10">
      <c r="A10" t="str">
        <f>'Knock-Out Predictions'!$N$3</f>
        <v>Edward Sherrington</v>
      </c>
      <c r="B10" t="str">
        <f>'Knock-Out Predictions'!$N$4</f>
        <v>3 Lions on the Jersey</v>
      </c>
      <c r="C10" t="s">
        <v>281</v>
      </c>
      <c r="D10" t="s">
        <v>114</v>
      </c>
      <c r="E10" t="s">
        <v>290</v>
      </c>
      <c r="F10" t="str">
        <f>'Knock-Out Predictions'!D19</f>
        <v>Canada (CAN)</v>
      </c>
      <c r="G10">
        <f>'Knock-Out Predictions'!E19</f>
        <v>1</v>
      </c>
      <c r="H10" t="str">
        <f>'Knock-Out Predictions'!F19</f>
        <v>Qatar (QAT)</v>
      </c>
      <c r="I10">
        <f>'Knock-Out Predictions'!G19</f>
        <v>0</v>
      </c>
    </row>
    <row r="11" spans="1:10">
      <c r="A11" t="str">
        <f>'Knock-Out Predictions'!$N$3</f>
        <v>Edward Sherrington</v>
      </c>
      <c r="B11" t="str">
        <f>'Knock-Out Predictions'!$N$4</f>
        <v>3 Lions on the Jersey</v>
      </c>
      <c r="C11" t="s">
        <v>281</v>
      </c>
      <c r="D11" t="s">
        <v>114</v>
      </c>
      <c r="E11" t="s">
        <v>291</v>
      </c>
      <c r="F11" t="str">
        <f>'Knock-Out Predictions'!D20</f>
        <v>Switzerland (SUI)</v>
      </c>
      <c r="G11">
        <f>'Knock-Out Predictions'!E20</f>
        <v>1</v>
      </c>
      <c r="H11" t="str">
        <f>'Knock-Out Predictions'!F20</f>
        <v>Bosnia and Herzegovina (BIH)</v>
      </c>
      <c r="I11">
        <f>'Knock-Out Predictions'!G20</f>
        <v>0</v>
      </c>
    </row>
    <row r="12" spans="1:10">
      <c r="A12" t="str">
        <f>'Knock-Out Predictions'!$N$3</f>
        <v>Edward Sherrington</v>
      </c>
      <c r="B12" t="str">
        <f>'Knock-Out Predictions'!$N$4</f>
        <v>3 Lions on the Jersey</v>
      </c>
      <c r="C12" t="s">
        <v>281</v>
      </c>
      <c r="D12" t="s">
        <v>114</v>
      </c>
      <c r="E12" t="s">
        <v>292</v>
      </c>
      <c r="F12" t="str">
        <f>'Knock-Out Predictions'!D21</f>
        <v>Switzerland (SUI)</v>
      </c>
      <c r="G12">
        <f>'Knock-Out Predictions'!E21</f>
        <v>1</v>
      </c>
      <c r="H12" t="str">
        <f>'Knock-Out Predictions'!F21</f>
        <v>Canada (CAN)</v>
      </c>
      <c r="I12">
        <f>'Knock-Out Predictions'!G21</f>
        <v>0</v>
      </c>
    </row>
    <row r="13" spans="1:10">
      <c r="A13" t="str">
        <f>'Knock-Out Predictions'!$N$3</f>
        <v>Edward Sherrington</v>
      </c>
      <c r="B13" t="str">
        <f>'Knock-Out Predictions'!$N$4</f>
        <v>3 Lions on the Jersey</v>
      </c>
      <c r="C13" t="s">
        <v>281</v>
      </c>
      <c r="D13" t="s">
        <v>114</v>
      </c>
      <c r="E13" t="s">
        <v>293</v>
      </c>
      <c r="F13" t="str">
        <f>'Knock-Out Predictions'!D22</f>
        <v>Bosnia and Herzegovina (BIH)</v>
      </c>
      <c r="G13">
        <f>'Knock-Out Predictions'!E22</f>
        <v>1</v>
      </c>
      <c r="H13" t="str">
        <f>'Knock-Out Predictions'!F22</f>
        <v>Qatar (QAT)</v>
      </c>
      <c r="I13">
        <f>'Knock-Out Predictions'!G22</f>
        <v>0</v>
      </c>
    </row>
    <row r="14" spans="1:10">
      <c r="A14" t="str">
        <f>'Knock-Out Predictions'!$N$3</f>
        <v>Edward Sherrington</v>
      </c>
      <c r="B14" t="str">
        <f>'Knock-Out Predictions'!$N$4</f>
        <v>3 Lions on the Jersey</v>
      </c>
      <c r="C14" t="s">
        <v>281</v>
      </c>
      <c r="D14" t="s">
        <v>115</v>
      </c>
      <c r="E14" t="s">
        <v>294</v>
      </c>
      <c r="F14" t="str">
        <f>'Knock-Out Predictions'!D25</f>
        <v>Brazil (BRA)</v>
      </c>
      <c r="G14">
        <f>'Knock-Out Predictions'!E25</f>
        <v>1</v>
      </c>
      <c r="H14" t="str">
        <f>'Knock-Out Predictions'!F25</f>
        <v>Morocco (MAR)</v>
      </c>
      <c r="I14">
        <f>'Knock-Out Predictions'!G25</f>
        <v>0</v>
      </c>
    </row>
    <row r="15" spans="1:10">
      <c r="A15" t="str">
        <f>'Knock-Out Predictions'!$N$3</f>
        <v>Edward Sherrington</v>
      </c>
      <c r="B15" t="str">
        <f>'Knock-Out Predictions'!$N$4</f>
        <v>3 Lions on the Jersey</v>
      </c>
      <c r="C15" t="s">
        <v>281</v>
      </c>
      <c r="D15" t="s">
        <v>115</v>
      </c>
      <c r="E15" t="s">
        <v>295</v>
      </c>
      <c r="F15" t="str">
        <f>'Knock-Out Predictions'!D26</f>
        <v>Haiti (HAI)</v>
      </c>
      <c r="G15">
        <f>'Knock-Out Predictions'!E26</f>
        <v>0</v>
      </c>
      <c r="H15" t="str">
        <f>'Knock-Out Predictions'!F26</f>
        <v>Scotland (SCO)</v>
      </c>
      <c r="I15">
        <f>'Knock-Out Predictions'!G26</f>
        <v>2</v>
      </c>
    </row>
    <row r="16" spans="1:10">
      <c r="A16" t="str">
        <f>'Knock-Out Predictions'!$N$3</f>
        <v>Edward Sherrington</v>
      </c>
      <c r="B16" t="str">
        <f>'Knock-Out Predictions'!$N$4</f>
        <v>3 Lions on the Jersey</v>
      </c>
      <c r="C16" t="s">
        <v>281</v>
      </c>
      <c r="D16" t="s">
        <v>115</v>
      </c>
      <c r="E16" t="s">
        <v>296</v>
      </c>
      <c r="F16" t="str">
        <f>'Knock-Out Predictions'!D27</f>
        <v>Brazil (BRA)</v>
      </c>
      <c r="G16">
        <f>'Knock-Out Predictions'!E27</f>
        <v>5</v>
      </c>
      <c r="H16" t="str">
        <f>'Knock-Out Predictions'!F27</f>
        <v>Haiti (HAI)</v>
      </c>
      <c r="I16">
        <f>'Knock-Out Predictions'!G27</f>
        <v>0</v>
      </c>
    </row>
    <row r="17" spans="1:9">
      <c r="A17" t="str">
        <f>'Knock-Out Predictions'!$N$3</f>
        <v>Edward Sherrington</v>
      </c>
      <c r="B17" t="str">
        <f>'Knock-Out Predictions'!$N$4</f>
        <v>3 Lions on the Jersey</v>
      </c>
      <c r="C17" t="s">
        <v>281</v>
      </c>
      <c r="D17" t="s">
        <v>115</v>
      </c>
      <c r="E17" t="s">
        <v>297</v>
      </c>
      <c r="F17" t="str">
        <f>'Knock-Out Predictions'!D28</f>
        <v>Scotland (SCO)</v>
      </c>
      <c r="G17">
        <f>'Knock-Out Predictions'!E28</f>
        <v>0</v>
      </c>
      <c r="H17" t="str">
        <f>'Knock-Out Predictions'!F28</f>
        <v>Morocco (MAR)</v>
      </c>
      <c r="I17">
        <f>'Knock-Out Predictions'!G28</f>
        <v>1</v>
      </c>
    </row>
    <row r="18" spans="1:9">
      <c r="A18" t="str">
        <f>'Knock-Out Predictions'!$N$3</f>
        <v>Edward Sherrington</v>
      </c>
      <c r="B18" t="str">
        <f>'Knock-Out Predictions'!$N$4</f>
        <v>3 Lions on the Jersey</v>
      </c>
      <c r="C18" t="s">
        <v>281</v>
      </c>
      <c r="D18" t="s">
        <v>115</v>
      </c>
      <c r="E18" t="s">
        <v>298</v>
      </c>
      <c r="F18" t="str">
        <f>'Knock-Out Predictions'!D29</f>
        <v>Scotland (SCO)</v>
      </c>
      <c r="G18">
        <f>'Knock-Out Predictions'!E29</f>
        <v>0</v>
      </c>
      <c r="H18" t="str">
        <f>'Knock-Out Predictions'!F29</f>
        <v>Brazil (BRA)</v>
      </c>
      <c r="I18">
        <f>'Knock-Out Predictions'!G29</f>
        <v>1</v>
      </c>
    </row>
    <row r="19" spans="1:9">
      <c r="A19" t="str">
        <f>'Knock-Out Predictions'!$N$3</f>
        <v>Edward Sherrington</v>
      </c>
      <c r="B19" t="str">
        <f>'Knock-Out Predictions'!$N$4</f>
        <v>3 Lions on the Jersey</v>
      </c>
      <c r="C19" t="s">
        <v>281</v>
      </c>
      <c r="D19" t="s">
        <v>115</v>
      </c>
      <c r="E19" t="s">
        <v>299</v>
      </c>
      <c r="F19" t="str">
        <f>'Knock-Out Predictions'!D30</f>
        <v>Morocco (MAR)</v>
      </c>
      <c r="G19">
        <f>'Knock-Out Predictions'!E30</f>
        <v>3</v>
      </c>
      <c r="H19" t="str">
        <f>'Knock-Out Predictions'!F30</f>
        <v>Haiti (HAI)</v>
      </c>
      <c r="I19">
        <f>'Knock-Out Predictions'!G30</f>
        <v>0</v>
      </c>
    </row>
    <row r="20" spans="1:9">
      <c r="A20" t="str">
        <f>'Knock-Out Predictions'!$N$3</f>
        <v>Edward Sherrington</v>
      </c>
      <c r="B20" t="str">
        <f>'Knock-Out Predictions'!$N$4</f>
        <v>3 Lions on the Jersey</v>
      </c>
      <c r="C20" t="s">
        <v>281</v>
      </c>
      <c r="D20" t="s">
        <v>116</v>
      </c>
      <c r="E20" t="s">
        <v>300</v>
      </c>
      <c r="F20" t="str">
        <f>'Knock-Out Predictions'!D33</f>
        <v>USA</v>
      </c>
      <c r="G20">
        <f>'Knock-Out Predictions'!E33</f>
        <v>1</v>
      </c>
      <c r="H20" t="str">
        <f>'Knock-Out Predictions'!F33</f>
        <v>Paraguay (PAR)</v>
      </c>
      <c r="I20">
        <f>'Knock-Out Predictions'!G33</f>
        <v>0</v>
      </c>
    </row>
    <row r="21" spans="1:9">
      <c r="A21" t="str">
        <f>'Knock-Out Predictions'!$N$3</f>
        <v>Edward Sherrington</v>
      </c>
      <c r="B21" t="str">
        <f>'Knock-Out Predictions'!$N$4</f>
        <v>3 Lions on the Jersey</v>
      </c>
      <c r="C21" t="s">
        <v>281</v>
      </c>
      <c r="D21" t="s">
        <v>116</v>
      </c>
      <c r="E21" t="s">
        <v>301</v>
      </c>
      <c r="F21" t="str">
        <f>'Knock-Out Predictions'!D34</f>
        <v>Australia (AUS)</v>
      </c>
      <c r="G21">
        <f>'Knock-Out Predictions'!E34</f>
        <v>0</v>
      </c>
      <c r="H21" t="str">
        <f>'Knock-Out Predictions'!F34</f>
        <v>Türkiye (TUR)</v>
      </c>
      <c r="I21">
        <f>'Knock-Out Predictions'!G34</f>
        <v>1</v>
      </c>
    </row>
    <row r="22" spans="1:9">
      <c r="A22" t="str">
        <f>'Knock-Out Predictions'!$N$3</f>
        <v>Edward Sherrington</v>
      </c>
      <c r="B22" t="str">
        <f>'Knock-Out Predictions'!$N$4</f>
        <v>3 Lions on the Jersey</v>
      </c>
      <c r="C22" t="s">
        <v>281</v>
      </c>
      <c r="D22" t="s">
        <v>116</v>
      </c>
      <c r="E22" t="s">
        <v>302</v>
      </c>
      <c r="F22" t="str">
        <f>'Knock-Out Predictions'!D35</f>
        <v>USA</v>
      </c>
      <c r="G22">
        <f>'Knock-Out Predictions'!E35</f>
        <v>1</v>
      </c>
      <c r="H22" t="str">
        <f>'Knock-Out Predictions'!F35</f>
        <v>Australia (AUS)</v>
      </c>
      <c r="I22">
        <f>'Knock-Out Predictions'!G35</f>
        <v>0</v>
      </c>
    </row>
    <row r="23" spans="1:9">
      <c r="A23" t="str">
        <f>'Knock-Out Predictions'!$N$3</f>
        <v>Edward Sherrington</v>
      </c>
      <c r="B23" t="str">
        <f>'Knock-Out Predictions'!$N$4</f>
        <v>3 Lions on the Jersey</v>
      </c>
      <c r="C23" t="s">
        <v>281</v>
      </c>
      <c r="D23" t="s">
        <v>116</v>
      </c>
      <c r="E23" t="s">
        <v>303</v>
      </c>
      <c r="F23" t="str">
        <f>'Knock-Out Predictions'!D36</f>
        <v>Türkiye (TUR)</v>
      </c>
      <c r="G23">
        <f>'Knock-Out Predictions'!E36</f>
        <v>0</v>
      </c>
      <c r="H23" t="str">
        <f>'Knock-Out Predictions'!F36</f>
        <v>Paraguay (PAR)</v>
      </c>
      <c r="I23">
        <f>'Knock-Out Predictions'!G36</f>
        <v>0</v>
      </c>
    </row>
    <row r="24" spans="1:9">
      <c r="A24" t="str">
        <f>'Knock-Out Predictions'!$N$3</f>
        <v>Edward Sherrington</v>
      </c>
      <c r="B24" t="str">
        <f>'Knock-Out Predictions'!$N$4</f>
        <v>3 Lions on the Jersey</v>
      </c>
      <c r="C24" t="s">
        <v>281</v>
      </c>
      <c r="D24" t="s">
        <v>116</v>
      </c>
      <c r="E24" t="s">
        <v>304</v>
      </c>
      <c r="F24" t="str">
        <f>'Knock-Out Predictions'!D37</f>
        <v>Türkiye (TUR)</v>
      </c>
      <c r="G24">
        <f>'Knock-Out Predictions'!E37</f>
        <v>0</v>
      </c>
      <c r="H24" t="str">
        <f>'Knock-Out Predictions'!F37</f>
        <v>USA</v>
      </c>
      <c r="I24">
        <f>'Knock-Out Predictions'!G37</f>
        <v>1</v>
      </c>
    </row>
    <row r="25" spans="1:9">
      <c r="A25" t="str">
        <f>'Knock-Out Predictions'!$N$3</f>
        <v>Edward Sherrington</v>
      </c>
      <c r="B25" t="str">
        <f>'Knock-Out Predictions'!$N$4</f>
        <v>3 Lions on the Jersey</v>
      </c>
      <c r="C25" t="s">
        <v>281</v>
      </c>
      <c r="D25" t="s">
        <v>116</v>
      </c>
      <c r="E25" t="s">
        <v>305</v>
      </c>
      <c r="F25" t="str">
        <f>'Knock-Out Predictions'!D38</f>
        <v>Paraguay (PAR)</v>
      </c>
      <c r="G25">
        <f>'Knock-Out Predictions'!E38</f>
        <v>0</v>
      </c>
      <c r="H25" t="str">
        <f>'Knock-Out Predictions'!F38</f>
        <v>Australia (AUS)</v>
      </c>
      <c r="I25">
        <f>'Knock-Out Predictions'!G38</f>
        <v>0</v>
      </c>
    </row>
    <row r="26" spans="1:9">
      <c r="A26" t="str">
        <f>'Knock-Out Predictions'!$N$3</f>
        <v>Edward Sherrington</v>
      </c>
      <c r="B26" t="str">
        <f>'Knock-Out Predictions'!$N$4</f>
        <v>3 Lions on the Jersey</v>
      </c>
      <c r="C26" t="s">
        <v>281</v>
      </c>
      <c r="D26" t="s">
        <v>117</v>
      </c>
      <c r="E26" t="s">
        <v>306</v>
      </c>
      <c r="F26" t="str">
        <f>'Knock-Out Predictions'!D41</f>
        <v>Germany (GER)</v>
      </c>
      <c r="G26">
        <f>'Knock-Out Predictions'!E41</f>
        <v>5</v>
      </c>
      <c r="H26" t="str">
        <f>'Knock-Out Predictions'!F41</f>
        <v>Curaçao (CUW)</v>
      </c>
      <c r="I26">
        <f>'Knock-Out Predictions'!G41</f>
        <v>0</v>
      </c>
    </row>
    <row r="27" spans="1:9">
      <c r="A27" t="str">
        <f>'Knock-Out Predictions'!$N$3</f>
        <v>Edward Sherrington</v>
      </c>
      <c r="B27" t="str">
        <f>'Knock-Out Predictions'!$N$4</f>
        <v>3 Lions on the Jersey</v>
      </c>
      <c r="C27" t="s">
        <v>281</v>
      </c>
      <c r="D27" t="s">
        <v>117</v>
      </c>
      <c r="E27" t="s">
        <v>307</v>
      </c>
      <c r="F27" t="str">
        <f>'Knock-Out Predictions'!D42</f>
        <v>Côte d'Ivoire (CIV)</v>
      </c>
      <c r="G27">
        <f>'Knock-Out Predictions'!E42</f>
        <v>0</v>
      </c>
      <c r="H27" t="str">
        <f>'Knock-Out Predictions'!F42</f>
        <v>Ecuador (ECU)</v>
      </c>
      <c r="I27">
        <f>'Knock-Out Predictions'!G42</f>
        <v>1</v>
      </c>
    </row>
    <row r="28" spans="1:9">
      <c r="A28" t="str">
        <f>'Knock-Out Predictions'!$N$3</f>
        <v>Edward Sherrington</v>
      </c>
      <c r="B28" t="str">
        <f>'Knock-Out Predictions'!$N$4</f>
        <v>3 Lions on the Jersey</v>
      </c>
      <c r="C28" t="s">
        <v>281</v>
      </c>
      <c r="D28" t="s">
        <v>117</v>
      </c>
      <c r="E28" t="s">
        <v>308</v>
      </c>
      <c r="F28" t="str">
        <f>'Knock-Out Predictions'!D43</f>
        <v>Germany (GER)</v>
      </c>
      <c r="G28">
        <f>'Knock-Out Predictions'!E43</f>
        <v>2</v>
      </c>
      <c r="H28" t="str">
        <f>'Knock-Out Predictions'!F43</f>
        <v>Côte d'Ivoire (CIV)</v>
      </c>
      <c r="I28">
        <f>'Knock-Out Predictions'!G43</f>
        <v>0</v>
      </c>
    </row>
    <row r="29" spans="1:9">
      <c r="A29" t="str">
        <f>'Knock-Out Predictions'!$N$3</f>
        <v>Edward Sherrington</v>
      </c>
      <c r="B29" t="str">
        <f>'Knock-Out Predictions'!$N$4</f>
        <v>3 Lions on the Jersey</v>
      </c>
      <c r="C29" t="s">
        <v>281</v>
      </c>
      <c r="D29" t="s">
        <v>117</v>
      </c>
      <c r="E29" t="s">
        <v>309</v>
      </c>
      <c r="F29" t="str">
        <f>'Knock-Out Predictions'!D44</f>
        <v>Ecuador (ECU)</v>
      </c>
      <c r="G29">
        <f>'Knock-Out Predictions'!E44</f>
        <v>3</v>
      </c>
      <c r="H29" t="str">
        <f>'Knock-Out Predictions'!F44</f>
        <v>Curaçao (CUW)</v>
      </c>
      <c r="I29">
        <f>'Knock-Out Predictions'!G44</f>
        <v>0</v>
      </c>
    </row>
    <row r="30" spans="1:9">
      <c r="A30" t="str">
        <f>'Knock-Out Predictions'!$N$3</f>
        <v>Edward Sherrington</v>
      </c>
      <c r="B30" t="str">
        <f>'Knock-Out Predictions'!$N$4</f>
        <v>3 Lions on the Jersey</v>
      </c>
      <c r="C30" t="s">
        <v>281</v>
      </c>
      <c r="D30" t="s">
        <v>117</v>
      </c>
      <c r="E30" t="s">
        <v>310</v>
      </c>
      <c r="F30" t="str">
        <f>'Knock-Out Predictions'!D45</f>
        <v>Ecuador (ECU)</v>
      </c>
      <c r="G30">
        <f>'Knock-Out Predictions'!E45</f>
        <v>0</v>
      </c>
      <c r="H30" t="str">
        <f>'Knock-Out Predictions'!F45</f>
        <v>Germany (GER)</v>
      </c>
      <c r="I30">
        <f>'Knock-Out Predictions'!G45</f>
        <v>1</v>
      </c>
    </row>
    <row r="31" spans="1:9">
      <c r="A31" t="str">
        <f>'Knock-Out Predictions'!$N$3</f>
        <v>Edward Sherrington</v>
      </c>
      <c r="B31" t="str">
        <f>'Knock-Out Predictions'!$N$4</f>
        <v>3 Lions on the Jersey</v>
      </c>
      <c r="C31" t="s">
        <v>281</v>
      </c>
      <c r="D31" t="s">
        <v>117</v>
      </c>
      <c r="E31" t="s">
        <v>311</v>
      </c>
      <c r="F31" t="str">
        <f>'Knock-Out Predictions'!D46</f>
        <v>Curaçao (CUW)</v>
      </c>
      <c r="G31">
        <f>'Knock-Out Predictions'!E46</f>
        <v>0</v>
      </c>
      <c r="H31" t="str">
        <f>'Knock-Out Predictions'!F46</f>
        <v>Côte d'Ivoire (CIV)</v>
      </c>
      <c r="I31">
        <f>'Knock-Out Predictions'!G46</f>
        <v>3</v>
      </c>
    </row>
    <row r="32" spans="1:9">
      <c r="A32" t="str">
        <f>'Knock-Out Predictions'!$N$3</f>
        <v>Edward Sherrington</v>
      </c>
      <c r="B32" t="str">
        <f>'Knock-Out Predictions'!$N$4</f>
        <v>3 Lions on the Jersey</v>
      </c>
      <c r="C32" t="s">
        <v>281</v>
      </c>
      <c r="D32" t="s">
        <v>118</v>
      </c>
      <c r="E32" t="s">
        <v>312</v>
      </c>
      <c r="F32" t="str">
        <f>'Knock-Out Predictions'!D49</f>
        <v>Netherlands (NED)</v>
      </c>
      <c r="G32">
        <f>'Knock-Out Predictions'!E49</f>
        <v>1</v>
      </c>
      <c r="H32" t="str">
        <f>'Knock-Out Predictions'!F49</f>
        <v>Japan (JPN)</v>
      </c>
      <c r="I32">
        <f>'Knock-Out Predictions'!G49</f>
        <v>1</v>
      </c>
    </row>
    <row r="33" spans="1:9">
      <c r="A33" t="str">
        <f>'Knock-Out Predictions'!$N$3</f>
        <v>Edward Sherrington</v>
      </c>
      <c r="B33" t="str">
        <f>'Knock-Out Predictions'!$N$4</f>
        <v>3 Lions on the Jersey</v>
      </c>
      <c r="C33" t="s">
        <v>281</v>
      </c>
      <c r="D33" t="s">
        <v>118</v>
      </c>
      <c r="E33" t="s">
        <v>313</v>
      </c>
      <c r="F33" t="str">
        <f>'Knock-Out Predictions'!D50</f>
        <v>Sweden (SWE)</v>
      </c>
      <c r="G33">
        <f>'Knock-Out Predictions'!E50</f>
        <v>1</v>
      </c>
      <c r="H33" t="str">
        <f>'Knock-Out Predictions'!F50</f>
        <v>Tunisia (TUN)</v>
      </c>
      <c r="I33">
        <f>'Knock-Out Predictions'!G50</f>
        <v>0</v>
      </c>
    </row>
    <row r="34" spans="1:9">
      <c r="A34" t="str">
        <f>'Knock-Out Predictions'!$N$3</f>
        <v>Edward Sherrington</v>
      </c>
      <c r="B34" t="str">
        <f>'Knock-Out Predictions'!$N$4</f>
        <v>3 Lions on the Jersey</v>
      </c>
      <c r="C34" t="s">
        <v>281</v>
      </c>
      <c r="D34" t="s">
        <v>118</v>
      </c>
      <c r="E34" t="s">
        <v>314</v>
      </c>
      <c r="F34" t="str">
        <f>'Knock-Out Predictions'!D51</f>
        <v>Netherlands (NED)</v>
      </c>
      <c r="G34">
        <f>'Knock-Out Predictions'!E51</f>
        <v>1</v>
      </c>
      <c r="H34" t="str">
        <f>'Knock-Out Predictions'!F51</f>
        <v>Sweden (SWE)</v>
      </c>
      <c r="I34">
        <f>'Knock-Out Predictions'!G51</f>
        <v>0</v>
      </c>
    </row>
    <row r="35" spans="1:9">
      <c r="A35" t="str">
        <f>'Knock-Out Predictions'!$N$3</f>
        <v>Edward Sherrington</v>
      </c>
      <c r="B35" t="str">
        <f>'Knock-Out Predictions'!$N$4</f>
        <v>3 Lions on the Jersey</v>
      </c>
      <c r="C35" t="s">
        <v>281</v>
      </c>
      <c r="D35" t="s">
        <v>118</v>
      </c>
      <c r="E35" t="s">
        <v>315</v>
      </c>
      <c r="F35" t="str">
        <f>'Knock-Out Predictions'!D52</f>
        <v>Tunisia (TUN)</v>
      </c>
      <c r="G35">
        <f>'Knock-Out Predictions'!E52</f>
        <v>0</v>
      </c>
      <c r="H35" t="str">
        <f>'Knock-Out Predictions'!F52</f>
        <v>Japan (JPN)</v>
      </c>
      <c r="I35">
        <f>'Knock-Out Predictions'!G52</f>
        <v>1</v>
      </c>
    </row>
    <row r="36" spans="1:9">
      <c r="A36" t="str">
        <f>'Knock-Out Predictions'!$N$3</f>
        <v>Edward Sherrington</v>
      </c>
      <c r="B36" t="str">
        <f>'Knock-Out Predictions'!$N$4</f>
        <v>3 Lions on the Jersey</v>
      </c>
      <c r="C36" t="s">
        <v>281</v>
      </c>
      <c r="D36" t="s">
        <v>118</v>
      </c>
      <c r="E36" t="s">
        <v>316</v>
      </c>
      <c r="F36" t="str">
        <f>'Knock-Out Predictions'!D53</f>
        <v>Tunisia (TUN)</v>
      </c>
      <c r="G36">
        <f>'Knock-Out Predictions'!E53</f>
        <v>0</v>
      </c>
      <c r="H36" t="str">
        <f>'Knock-Out Predictions'!F53</f>
        <v>Netherlands (NED)</v>
      </c>
      <c r="I36">
        <f>'Knock-Out Predictions'!G53</f>
        <v>2</v>
      </c>
    </row>
    <row r="37" spans="1:9">
      <c r="A37" t="str">
        <f>'Knock-Out Predictions'!$N$3</f>
        <v>Edward Sherrington</v>
      </c>
      <c r="B37" t="str">
        <f>'Knock-Out Predictions'!$N$4</f>
        <v>3 Lions on the Jersey</v>
      </c>
      <c r="C37" t="s">
        <v>281</v>
      </c>
      <c r="D37" t="s">
        <v>118</v>
      </c>
      <c r="E37" t="s">
        <v>317</v>
      </c>
      <c r="F37" t="str">
        <f>'Knock-Out Predictions'!D54</f>
        <v>Japan (JPN)</v>
      </c>
      <c r="G37">
        <f>'Knock-Out Predictions'!E54</f>
        <v>1</v>
      </c>
      <c r="H37" t="str">
        <f>'Knock-Out Predictions'!F54</f>
        <v>Sweden (SWE)</v>
      </c>
      <c r="I37">
        <f>'Knock-Out Predictions'!G54</f>
        <v>0</v>
      </c>
    </row>
    <row r="38" spans="1:9">
      <c r="A38" t="str">
        <f>'Knock-Out Predictions'!$N$3</f>
        <v>Edward Sherrington</v>
      </c>
      <c r="B38" t="str">
        <f>'Knock-Out Predictions'!$N$4</f>
        <v>3 Lions on the Jersey</v>
      </c>
      <c r="C38" t="s">
        <v>281</v>
      </c>
      <c r="D38" t="s">
        <v>119</v>
      </c>
      <c r="E38" t="s">
        <v>318</v>
      </c>
      <c r="F38" t="str">
        <f>'Knock-Out Predictions'!D57</f>
        <v>Belgium (BEL)</v>
      </c>
      <c r="G38">
        <f>'Knock-Out Predictions'!E57</f>
        <v>1</v>
      </c>
      <c r="H38" t="str">
        <f>'Knock-Out Predictions'!F57</f>
        <v>Egypt (EGY)</v>
      </c>
      <c r="I38">
        <f>'Knock-Out Predictions'!G57</f>
        <v>0</v>
      </c>
    </row>
    <row r="39" spans="1:9">
      <c r="A39" t="str">
        <f>'Knock-Out Predictions'!$N$3</f>
        <v>Edward Sherrington</v>
      </c>
      <c r="B39" t="str">
        <f>'Knock-Out Predictions'!$N$4</f>
        <v>3 Lions on the Jersey</v>
      </c>
      <c r="C39" t="s">
        <v>281</v>
      </c>
      <c r="D39" t="s">
        <v>119</v>
      </c>
      <c r="E39" t="s">
        <v>319</v>
      </c>
      <c r="F39" t="str">
        <f>'Knock-Out Predictions'!D58</f>
        <v>Iran (IRN)</v>
      </c>
      <c r="G39">
        <f>'Knock-Out Predictions'!E58</f>
        <v>0</v>
      </c>
      <c r="H39" t="str">
        <f>'Knock-Out Predictions'!F58</f>
        <v>New Zealand (NZL)</v>
      </c>
      <c r="I39">
        <f>'Knock-Out Predictions'!G58</f>
        <v>0</v>
      </c>
    </row>
    <row r="40" spans="1:9">
      <c r="A40" t="str">
        <f>'Knock-Out Predictions'!$N$3</f>
        <v>Edward Sherrington</v>
      </c>
      <c r="B40" t="str">
        <f>'Knock-Out Predictions'!$N$4</f>
        <v>3 Lions on the Jersey</v>
      </c>
      <c r="C40" t="s">
        <v>281</v>
      </c>
      <c r="D40" t="s">
        <v>119</v>
      </c>
      <c r="E40" t="s">
        <v>320</v>
      </c>
      <c r="F40" t="str">
        <f>'Knock-Out Predictions'!D59</f>
        <v>Belgium (BEL)</v>
      </c>
      <c r="G40">
        <f>'Knock-Out Predictions'!E59</f>
        <v>1</v>
      </c>
      <c r="H40" t="str">
        <f>'Knock-Out Predictions'!F59</f>
        <v>Iran (IRN)</v>
      </c>
      <c r="I40">
        <f>'Knock-Out Predictions'!G59</f>
        <v>0</v>
      </c>
    </row>
    <row r="41" spans="1:9">
      <c r="A41" t="str">
        <f>'Knock-Out Predictions'!$N$3</f>
        <v>Edward Sherrington</v>
      </c>
      <c r="B41" t="str">
        <f>'Knock-Out Predictions'!$N$4</f>
        <v>3 Lions on the Jersey</v>
      </c>
      <c r="C41" t="s">
        <v>281</v>
      </c>
      <c r="D41" t="s">
        <v>119</v>
      </c>
      <c r="E41" t="s">
        <v>321</v>
      </c>
      <c r="F41" t="str">
        <f>'Knock-Out Predictions'!D60</f>
        <v>New Zealand (NZL)</v>
      </c>
      <c r="G41">
        <f>'Knock-Out Predictions'!E60</f>
        <v>0</v>
      </c>
      <c r="H41" t="str">
        <f>'Knock-Out Predictions'!F60</f>
        <v>Egypt (EGY)</v>
      </c>
      <c r="I41">
        <f>'Knock-Out Predictions'!G60</f>
        <v>1</v>
      </c>
    </row>
    <row r="42" spans="1:9">
      <c r="A42" t="str">
        <f>'Knock-Out Predictions'!$N$3</f>
        <v>Edward Sherrington</v>
      </c>
      <c r="B42" t="str">
        <f>'Knock-Out Predictions'!$N$4</f>
        <v>3 Lions on the Jersey</v>
      </c>
      <c r="C42" t="s">
        <v>281</v>
      </c>
      <c r="D42" t="s">
        <v>119</v>
      </c>
      <c r="E42" t="s">
        <v>322</v>
      </c>
      <c r="F42" t="str">
        <f>'Knock-Out Predictions'!D61</f>
        <v>New Zealand (NZL)</v>
      </c>
      <c r="G42">
        <f>'Knock-Out Predictions'!E61</f>
        <v>0</v>
      </c>
      <c r="H42" t="str">
        <f>'Knock-Out Predictions'!F61</f>
        <v>Belgium (BEL)</v>
      </c>
      <c r="I42">
        <f>'Knock-Out Predictions'!G61</f>
        <v>2</v>
      </c>
    </row>
    <row r="43" spans="1:9">
      <c r="A43" t="str">
        <f>'Knock-Out Predictions'!$N$3</f>
        <v>Edward Sherrington</v>
      </c>
      <c r="B43" t="str">
        <f>'Knock-Out Predictions'!$N$4</f>
        <v>3 Lions on the Jersey</v>
      </c>
      <c r="C43" t="s">
        <v>281</v>
      </c>
      <c r="D43" t="s">
        <v>119</v>
      </c>
      <c r="E43" t="s">
        <v>323</v>
      </c>
      <c r="F43" t="str">
        <f>'Knock-Out Predictions'!D62</f>
        <v>Egypt (EGY)</v>
      </c>
      <c r="G43">
        <f>'Knock-Out Predictions'!E62</f>
        <v>1</v>
      </c>
      <c r="H43" t="str">
        <f>'Knock-Out Predictions'!F62</f>
        <v>Iran (IRN)</v>
      </c>
      <c r="I43">
        <f>'Knock-Out Predictions'!G62</f>
        <v>0</v>
      </c>
    </row>
    <row r="44" spans="1:9">
      <c r="A44" t="str">
        <f>'Knock-Out Predictions'!$N$3</f>
        <v>Edward Sherrington</v>
      </c>
      <c r="B44" t="str">
        <f>'Knock-Out Predictions'!$N$4</f>
        <v>3 Lions on the Jersey</v>
      </c>
      <c r="C44" t="s">
        <v>281</v>
      </c>
      <c r="D44" t="s">
        <v>120</v>
      </c>
      <c r="E44" t="s">
        <v>324</v>
      </c>
      <c r="F44" t="str">
        <f>'Knock-Out Predictions'!D65</f>
        <v>Spain (ESP)</v>
      </c>
      <c r="G44">
        <f>'Knock-Out Predictions'!E65</f>
        <v>5</v>
      </c>
      <c r="H44" t="str">
        <f>'Knock-Out Predictions'!F65</f>
        <v>Cape Verde (CPV)</v>
      </c>
      <c r="I44">
        <f>'Knock-Out Predictions'!G65</f>
        <v>0</v>
      </c>
    </row>
    <row r="45" spans="1:9">
      <c r="A45" t="str">
        <f>'Knock-Out Predictions'!$N$3</f>
        <v>Edward Sherrington</v>
      </c>
      <c r="B45" t="str">
        <f>'Knock-Out Predictions'!$N$4</f>
        <v>3 Lions on the Jersey</v>
      </c>
      <c r="C45" t="s">
        <v>281</v>
      </c>
      <c r="D45" t="s">
        <v>120</v>
      </c>
      <c r="E45" t="s">
        <v>325</v>
      </c>
      <c r="F45" t="str">
        <f>'Knock-Out Predictions'!D66</f>
        <v>Saudi Arabia (KSA)</v>
      </c>
      <c r="G45">
        <f>'Knock-Out Predictions'!E66</f>
        <v>0</v>
      </c>
      <c r="H45" t="str">
        <f>'Knock-Out Predictions'!F66</f>
        <v>Uruguay (URU)</v>
      </c>
      <c r="I45">
        <f>'Knock-Out Predictions'!G66</f>
        <v>1</v>
      </c>
    </row>
    <row r="46" spans="1:9">
      <c r="A46" t="str">
        <f>'Knock-Out Predictions'!$N$3</f>
        <v>Edward Sherrington</v>
      </c>
      <c r="B46" t="str">
        <f>'Knock-Out Predictions'!$N$4</f>
        <v>3 Lions on the Jersey</v>
      </c>
      <c r="C46" t="s">
        <v>281</v>
      </c>
      <c r="D46" t="s">
        <v>120</v>
      </c>
      <c r="E46" t="s">
        <v>326</v>
      </c>
      <c r="F46" t="str">
        <f>'Knock-Out Predictions'!D67</f>
        <v>Spain (ESP)</v>
      </c>
      <c r="G46">
        <f>'Knock-Out Predictions'!E67</f>
        <v>4</v>
      </c>
      <c r="H46" t="str">
        <f>'Knock-Out Predictions'!F67</f>
        <v>Saudi Arabia (KSA)</v>
      </c>
      <c r="I46">
        <f>'Knock-Out Predictions'!G67</f>
        <v>0</v>
      </c>
    </row>
    <row r="47" spans="1:9">
      <c r="A47" t="str">
        <f>'Knock-Out Predictions'!$N$3</f>
        <v>Edward Sherrington</v>
      </c>
      <c r="B47" t="str">
        <f>'Knock-Out Predictions'!$N$4</f>
        <v>3 Lions on the Jersey</v>
      </c>
      <c r="C47" t="s">
        <v>281</v>
      </c>
      <c r="D47" t="s">
        <v>120</v>
      </c>
      <c r="E47" t="s">
        <v>327</v>
      </c>
      <c r="F47" t="str">
        <f>'Knock-Out Predictions'!D68</f>
        <v>Uruguay (URU)</v>
      </c>
      <c r="G47">
        <f>'Knock-Out Predictions'!E68</f>
        <v>2</v>
      </c>
      <c r="H47" t="str">
        <f>'Knock-Out Predictions'!F68</f>
        <v>Cape Verde (CPV)</v>
      </c>
      <c r="I47">
        <f>'Knock-Out Predictions'!G68</f>
        <v>0</v>
      </c>
    </row>
    <row r="48" spans="1:9">
      <c r="A48" t="str">
        <f>'Knock-Out Predictions'!$N$3</f>
        <v>Edward Sherrington</v>
      </c>
      <c r="B48" t="str">
        <f>'Knock-Out Predictions'!$N$4</f>
        <v>3 Lions on the Jersey</v>
      </c>
      <c r="C48" t="s">
        <v>281</v>
      </c>
      <c r="D48" t="s">
        <v>120</v>
      </c>
      <c r="E48" t="s">
        <v>328</v>
      </c>
      <c r="F48" t="str">
        <f>'Knock-Out Predictions'!D69</f>
        <v>Uruguay (URU)</v>
      </c>
      <c r="G48">
        <f>'Knock-Out Predictions'!E69</f>
        <v>0</v>
      </c>
      <c r="H48" t="str">
        <f>'Knock-Out Predictions'!F69</f>
        <v>Spain (ESP)</v>
      </c>
      <c r="I48">
        <f>'Knock-Out Predictions'!G69</f>
        <v>1</v>
      </c>
    </row>
    <row r="49" spans="1:9">
      <c r="A49" t="str">
        <f>'Knock-Out Predictions'!$N$3</f>
        <v>Edward Sherrington</v>
      </c>
      <c r="B49" t="str">
        <f>'Knock-Out Predictions'!$N$4</f>
        <v>3 Lions on the Jersey</v>
      </c>
      <c r="C49" t="s">
        <v>281</v>
      </c>
      <c r="D49" t="s">
        <v>120</v>
      </c>
      <c r="E49" t="s">
        <v>329</v>
      </c>
      <c r="F49" t="str">
        <f>'Knock-Out Predictions'!D70</f>
        <v>Cape Verde (CPV)</v>
      </c>
      <c r="G49">
        <f>'Knock-Out Predictions'!E70</f>
        <v>0</v>
      </c>
      <c r="H49" t="str">
        <f>'Knock-Out Predictions'!F70</f>
        <v>Saudi Arabia (KSA)</v>
      </c>
      <c r="I49">
        <f>'Knock-Out Predictions'!G70</f>
        <v>0</v>
      </c>
    </row>
    <row r="50" spans="1:9">
      <c r="A50" t="str">
        <f>'Knock-Out Predictions'!$N$3</f>
        <v>Edward Sherrington</v>
      </c>
      <c r="B50" t="str">
        <f>'Knock-Out Predictions'!$N$4</f>
        <v>3 Lions on the Jersey</v>
      </c>
      <c r="C50" t="s">
        <v>281</v>
      </c>
      <c r="D50" t="s">
        <v>121</v>
      </c>
      <c r="E50" t="s">
        <v>330</v>
      </c>
      <c r="F50" t="str">
        <f>'Knock-Out Predictions'!D73</f>
        <v>France (FRA)</v>
      </c>
      <c r="G50">
        <f>'Knock-Out Predictions'!E73</f>
        <v>2</v>
      </c>
      <c r="H50" t="str">
        <f>'Knock-Out Predictions'!F73</f>
        <v>Senegal (SEN)</v>
      </c>
      <c r="I50">
        <f>'Knock-Out Predictions'!G73</f>
        <v>0</v>
      </c>
    </row>
    <row r="51" spans="1:9">
      <c r="A51" t="str">
        <f>'Knock-Out Predictions'!$N$3</f>
        <v>Edward Sherrington</v>
      </c>
      <c r="B51" t="str">
        <f>'Knock-Out Predictions'!$N$4</f>
        <v>3 Lions on the Jersey</v>
      </c>
      <c r="C51" t="s">
        <v>281</v>
      </c>
      <c r="D51" t="s">
        <v>121</v>
      </c>
      <c r="E51" t="s">
        <v>331</v>
      </c>
      <c r="F51" t="str">
        <f>'Knock-Out Predictions'!D74</f>
        <v>Iraq (IRQ)</v>
      </c>
      <c r="G51">
        <f>'Knock-Out Predictions'!E74</f>
        <v>0</v>
      </c>
      <c r="H51" t="str">
        <f>'Knock-Out Predictions'!F74</f>
        <v>Norway (NOR)</v>
      </c>
      <c r="I51">
        <f>'Knock-Out Predictions'!G74</f>
        <v>1</v>
      </c>
    </row>
    <row r="52" spans="1:9">
      <c r="A52" t="str">
        <f>'Knock-Out Predictions'!$N$3</f>
        <v>Edward Sherrington</v>
      </c>
      <c r="B52" t="str">
        <f>'Knock-Out Predictions'!$N$4</f>
        <v>3 Lions on the Jersey</v>
      </c>
      <c r="C52" t="s">
        <v>281</v>
      </c>
      <c r="D52" t="s">
        <v>121</v>
      </c>
      <c r="E52" t="s">
        <v>332</v>
      </c>
      <c r="F52" t="str">
        <f>'Knock-Out Predictions'!D75</f>
        <v>France (FRA)</v>
      </c>
      <c r="G52">
        <f>'Knock-Out Predictions'!E75</f>
        <v>3</v>
      </c>
      <c r="H52" t="str">
        <f>'Knock-Out Predictions'!F75</f>
        <v>Iraq (IRQ)</v>
      </c>
      <c r="I52">
        <f>'Knock-Out Predictions'!G75</f>
        <v>0</v>
      </c>
    </row>
    <row r="53" spans="1:9">
      <c r="A53" t="str">
        <f>'Knock-Out Predictions'!$N$3</f>
        <v>Edward Sherrington</v>
      </c>
      <c r="B53" t="str">
        <f>'Knock-Out Predictions'!$N$4</f>
        <v>3 Lions on the Jersey</v>
      </c>
      <c r="C53" t="s">
        <v>281</v>
      </c>
      <c r="D53" t="s">
        <v>121</v>
      </c>
      <c r="E53" t="s">
        <v>333</v>
      </c>
      <c r="F53" t="str">
        <f>'Knock-Out Predictions'!D76</f>
        <v>Norway (NOR)</v>
      </c>
      <c r="G53">
        <f>'Knock-Out Predictions'!E76</f>
        <v>1</v>
      </c>
      <c r="H53" t="str">
        <f>'Knock-Out Predictions'!F76</f>
        <v>Senegal (SEN)</v>
      </c>
      <c r="I53">
        <f>'Knock-Out Predictions'!G76</f>
        <v>1</v>
      </c>
    </row>
    <row r="54" spans="1:9">
      <c r="A54" t="str">
        <f>'Knock-Out Predictions'!$N$3</f>
        <v>Edward Sherrington</v>
      </c>
      <c r="B54" t="str">
        <f>'Knock-Out Predictions'!$N$4</f>
        <v>3 Lions on the Jersey</v>
      </c>
      <c r="C54" t="s">
        <v>281</v>
      </c>
      <c r="D54" t="s">
        <v>121</v>
      </c>
      <c r="E54" t="s">
        <v>334</v>
      </c>
      <c r="F54" t="str">
        <f>'Knock-Out Predictions'!D77</f>
        <v>Norway (NOR)</v>
      </c>
      <c r="G54">
        <f>'Knock-Out Predictions'!E77</f>
        <v>1</v>
      </c>
      <c r="H54" t="str">
        <f>'Knock-Out Predictions'!F77</f>
        <v>France (FRA)</v>
      </c>
      <c r="I54">
        <f>'Knock-Out Predictions'!G77</f>
        <v>3</v>
      </c>
    </row>
    <row r="55" spans="1:9">
      <c r="A55" t="str">
        <f>'Knock-Out Predictions'!$N$3</f>
        <v>Edward Sherrington</v>
      </c>
      <c r="B55" t="str">
        <f>'Knock-Out Predictions'!$N$4</f>
        <v>3 Lions on the Jersey</v>
      </c>
      <c r="C55" t="s">
        <v>281</v>
      </c>
      <c r="D55" t="s">
        <v>121</v>
      </c>
      <c r="E55" t="s">
        <v>335</v>
      </c>
      <c r="F55" t="str">
        <f>'Knock-Out Predictions'!D78</f>
        <v>Senegal (SEN)</v>
      </c>
      <c r="G55">
        <f>'Knock-Out Predictions'!E78</f>
        <v>1</v>
      </c>
      <c r="H55" t="str">
        <f>'Knock-Out Predictions'!F78</f>
        <v>Iraq (IRQ)</v>
      </c>
      <c r="I55">
        <f>'Knock-Out Predictions'!G78</f>
        <v>0</v>
      </c>
    </row>
    <row r="56" spans="1:9">
      <c r="A56" t="str">
        <f>'Knock-Out Predictions'!$N$3</f>
        <v>Edward Sherrington</v>
      </c>
      <c r="B56" t="str">
        <f>'Knock-Out Predictions'!$N$4</f>
        <v>3 Lions on the Jersey</v>
      </c>
      <c r="C56" t="s">
        <v>281</v>
      </c>
      <c r="D56" t="s">
        <v>122</v>
      </c>
      <c r="E56" t="s">
        <v>336</v>
      </c>
      <c r="F56" t="str">
        <f>'Knock-Out Predictions'!D81</f>
        <v>Argentina (ARG)</v>
      </c>
      <c r="G56">
        <f>'Knock-Out Predictions'!E81</f>
        <v>2</v>
      </c>
      <c r="H56" t="str">
        <f>'Knock-Out Predictions'!F81</f>
        <v>Algeria (ALG)</v>
      </c>
      <c r="I56">
        <f>'Knock-Out Predictions'!G81</f>
        <v>0</v>
      </c>
    </row>
    <row r="57" spans="1:9">
      <c r="A57" t="str">
        <f>'Knock-Out Predictions'!$N$3</f>
        <v>Edward Sherrington</v>
      </c>
      <c r="B57" t="str">
        <f>'Knock-Out Predictions'!$N$4</f>
        <v>3 Lions on the Jersey</v>
      </c>
      <c r="C57" t="s">
        <v>281</v>
      </c>
      <c r="D57" t="s">
        <v>122</v>
      </c>
      <c r="E57" t="s">
        <v>337</v>
      </c>
      <c r="F57" t="str">
        <f>'Knock-Out Predictions'!D82</f>
        <v>Austria (AUT)</v>
      </c>
      <c r="G57">
        <f>'Knock-Out Predictions'!E82</f>
        <v>2</v>
      </c>
      <c r="H57" t="str">
        <f>'Knock-Out Predictions'!F82</f>
        <v>Jordan (JOR)</v>
      </c>
      <c r="I57">
        <f>'Knock-Out Predictions'!G82</f>
        <v>0</v>
      </c>
    </row>
    <row r="58" spans="1:9">
      <c r="A58" t="str">
        <f>'Knock-Out Predictions'!$N$3</f>
        <v>Edward Sherrington</v>
      </c>
      <c r="B58" t="str">
        <f>'Knock-Out Predictions'!$N$4</f>
        <v>3 Lions on the Jersey</v>
      </c>
      <c r="C58" t="s">
        <v>281</v>
      </c>
      <c r="D58" t="s">
        <v>122</v>
      </c>
      <c r="E58" t="s">
        <v>338</v>
      </c>
      <c r="F58" t="str">
        <f>'Knock-Out Predictions'!D83</f>
        <v>Argentina (ARG)</v>
      </c>
      <c r="G58">
        <f>'Knock-Out Predictions'!E83</f>
        <v>1</v>
      </c>
      <c r="H58" t="str">
        <f>'Knock-Out Predictions'!F83</f>
        <v>Austria (AUT)</v>
      </c>
      <c r="I58">
        <f>'Knock-Out Predictions'!G83</f>
        <v>0</v>
      </c>
    </row>
    <row r="59" spans="1:9">
      <c r="A59" t="str">
        <f>'Knock-Out Predictions'!$N$3</f>
        <v>Edward Sherrington</v>
      </c>
      <c r="B59" t="str">
        <f>'Knock-Out Predictions'!$N$4</f>
        <v>3 Lions on the Jersey</v>
      </c>
      <c r="C59" t="s">
        <v>281</v>
      </c>
      <c r="D59" t="s">
        <v>122</v>
      </c>
      <c r="E59" t="s">
        <v>339</v>
      </c>
      <c r="F59" t="str">
        <f>'Knock-Out Predictions'!D84</f>
        <v>Jordan (JOR)</v>
      </c>
      <c r="G59">
        <f>'Knock-Out Predictions'!E84</f>
        <v>0</v>
      </c>
      <c r="H59" t="str">
        <f>'Knock-Out Predictions'!F84</f>
        <v>Algeria (ALG)</v>
      </c>
      <c r="I59">
        <f>'Knock-Out Predictions'!G84</f>
        <v>1</v>
      </c>
    </row>
    <row r="60" spans="1:9">
      <c r="A60" t="str">
        <f>'Knock-Out Predictions'!$N$3</f>
        <v>Edward Sherrington</v>
      </c>
      <c r="B60" t="str">
        <f>'Knock-Out Predictions'!$N$4</f>
        <v>3 Lions on the Jersey</v>
      </c>
      <c r="C60" t="s">
        <v>281</v>
      </c>
      <c r="D60" t="s">
        <v>122</v>
      </c>
      <c r="E60" t="s">
        <v>340</v>
      </c>
      <c r="F60" t="str">
        <f>'Knock-Out Predictions'!D85</f>
        <v>Jordan (JOR)</v>
      </c>
      <c r="G60">
        <f>'Knock-Out Predictions'!E85</f>
        <v>0</v>
      </c>
      <c r="H60" t="str">
        <f>'Knock-Out Predictions'!F85</f>
        <v>Argentina (ARG)</v>
      </c>
      <c r="I60">
        <f>'Knock-Out Predictions'!G85</f>
        <v>5</v>
      </c>
    </row>
    <row r="61" spans="1:9">
      <c r="A61" t="str">
        <f>'Knock-Out Predictions'!$N$3</f>
        <v>Edward Sherrington</v>
      </c>
      <c r="B61" t="str">
        <f>'Knock-Out Predictions'!$N$4</f>
        <v>3 Lions on the Jersey</v>
      </c>
      <c r="C61" t="s">
        <v>281</v>
      </c>
      <c r="D61" t="s">
        <v>122</v>
      </c>
      <c r="E61" t="s">
        <v>341</v>
      </c>
      <c r="F61" t="str">
        <f>'Knock-Out Predictions'!D86</f>
        <v>Algeria (ALG)</v>
      </c>
      <c r="G61">
        <f>'Knock-Out Predictions'!E86</f>
        <v>0</v>
      </c>
      <c r="H61" t="str">
        <f>'Knock-Out Predictions'!F86</f>
        <v>Austria (AUT)</v>
      </c>
      <c r="I61">
        <f>'Knock-Out Predictions'!G86</f>
        <v>1</v>
      </c>
    </row>
    <row r="62" spans="1:9">
      <c r="A62" t="str">
        <f>'Knock-Out Predictions'!$N$3</f>
        <v>Edward Sherrington</v>
      </c>
      <c r="B62" t="str">
        <f>'Knock-Out Predictions'!$N$4</f>
        <v>3 Lions on the Jersey</v>
      </c>
      <c r="C62" t="s">
        <v>281</v>
      </c>
      <c r="D62" t="s">
        <v>123</v>
      </c>
      <c r="E62" t="s">
        <v>342</v>
      </c>
      <c r="F62" t="str">
        <f>'Knock-Out Predictions'!D89</f>
        <v>Portugal (POR)</v>
      </c>
      <c r="G62">
        <f>'Knock-Out Predictions'!E89</f>
        <v>2</v>
      </c>
      <c r="H62" t="str">
        <f>'Knock-Out Predictions'!F89</f>
        <v>DR Congo (COD)</v>
      </c>
      <c r="I62">
        <f>'Knock-Out Predictions'!G89</f>
        <v>0</v>
      </c>
    </row>
    <row r="63" spans="1:9">
      <c r="A63" t="str">
        <f>'Knock-Out Predictions'!$N$3</f>
        <v>Edward Sherrington</v>
      </c>
      <c r="B63" t="str">
        <f>'Knock-Out Predictions'!$N$4</f>
        <v>3 Lions on the Jersey</v>
      </c>
      <c r="C63" t="s">
        <v>281</v>
      </c>
      <c r="D63" t="s">
        <v>123</v>
      </c>
      <c r="E63" t="s">
        <v>343</v>
      </c>
      <c r="F63" t="str">
        <f>'Knock-Out Predictions'!D90</f>
        <v>Uzbekistan (UZB)</v>
      </c>
      <c r="G63">
        <f>'Knock-Out Predictions'!E90</f>
        <v>0</v>
      </c>
      <c r="H63" t="str">
        <f>'Knock-Out Predictions'!F90</f>
        <v>Colombia (COL)</v>
      </c>
      <c r="I63">
        <f>'Knock-Out Predictions'!G90</f>
        <v>2</v>
      </c>
    </row>
    <row r="64" spans="1:9">
      <c r="A64" t="str">
        <f>'Knock-Out Predictions'!$N$3</f>
        <v>Edward Sherrington</v>
      </c>
      <c r="B64" t="str">
        <f>'Knock-Out Predictions'!$N$4</f>
        <v>3 Lions on the Jersey</v>
      </c>
      <c r="C64" t="s">
        <v>281</v>
      </c>
      <c r="D64" t="s">
        <v>123</v>
      </c>
      <c r="E64" t="s">
        <v>344</v>
      </c>
      <c r="F64" t="str">
        <f>'Knock-Out Predictions'!D91</f>
        <v>Portugal (POR)</v>
      </c>
      <c r="G64">
        <f>'Knock-Out Predictions'!E91</f>
        <v>3</v>
      </c>
      <c r="H64" t="str">
        <f>'Knock-Out Predictions'!F91</f>
        <v>Uzbekistan (UZB)</v>
      </c>
      <c r="I64">
        <f>'Knock-Out Predictions'!G91</f>
        <v>0</v>
      </c>
    </row>
    <row r="65" spans="1:10">
      <c r="A65" t="str">
        <f>'Knock-Out Predictions'!$N$3</f>
        <v>Edward Sherrington</v>
      </c>
      <c r="B65" t="str">
        <f>'Knock-Out Predictions'!$N$4</f>
        <v>3 Lions on the Jersey</v>
      </c>
      <c r="C65" t="s">
        <v>281</v>
      </c>
      <c r="D65" t="s">
        <v>123</v>
      </c>
      <c r="E65" t="s">
        <v>345</v>
      </c>
      <c r="F65" t="str">
        <f>'Knock-Out Predictions'!D92</f>
        <v>Colombia (COL)</v>
      </c>
      <c r="G65">
        <f>'Knock-Out Predictions'!E92</f>
        <v>1</v>
      </c>
      <c r="H65" t="str">
        <f>'Knock-Out Predictions'!F92</f>
        <v>DR Congo (COD)</v>
      </c>
      <c r="I65">
        <f>'Knock-Out Predictions'!G92</f>
        <v>0</v>
      </c>
    </row>
    <row r="66" spans="1:10">
      <c r="A66" t="str">
        <f>'Knock-Out Predictions'!$N$3</f>
        <v>Edward Sherrington</v>
      </c>
      <c r="B66" t="str">
        <f>'Knock-Out Predictions'!$N$4</f>
        <v>3 Lions on the Jersey</v>
      </c>
      <c r="C66" t="s">
        <v>281</v>
      </c>
      <c r="D66" t="s">
        <v>123</v>
      </c>
      <c r="E66" t="s">
        <v>346</v>
      </c>
      <c r="F66" t="str">
        <f>'Knock-Out Predictions'!D93</f>
        <v>Colombia (COL)</v>
      </c>
      <c r="G66">
        <f>'Knock-Out Predictions'!E93</f>
        <v>0</v>
      </c>
      <c r="H66" t="str">
        <f>'Knock-Out Predictions'!F93</f>
        <v>Portugal (POR)</v>
      </c>
      <c r="I66">
        <f>'Knock-Out Predictions'!G93</f>
        <v>1</v>
      </c>
    </row>
    <row r="67" spans="1:10">
      <c r="A67" t="str">
        <f>'Knock-Out Predictions'!$N$3</f>
        <v>Edward Sherrington</v>
      </c>
      <c r="B67" t="str">
        <f>'Knock-Out Predictions'!$N$4</f>
        <v>3 Lions on the Jersey</v>
      </c>
      <c r="C67" t="s">
        <v>281</v>
      </c>
      <c r="D67" t="s">
        <v>123</v>
      </c>
      <c r="E67" t="s">
        <v>347</v>
      </c>
      <c r="F67" t="str">
        <f>'Knock-Out Predictions'!D94</f>
        <v>DR Congo (COD)</v>
      </c>
      <c r="G67">
        <f>'Knock-Out Predictions'!E94</f>
        <v>0</v>
      </c>
      <c r="H67" t="str">
        <f>'Knock-Out Predictions'!F94</f>
        <v>Uzbekistan (UZB)</v>
      </c>
      <c r="I67">
        <f>'Knock-Out Predictions'!G94</f>
        <v>1</v>
      </c>
    </row>
    <row r="68" spans="1:10">
      <c r="A68" t="str">
        <f>'Knock-Out Predictions'!$N$3</f>
        <v>Edward Sherrington</v>
      </c>
      <c r="B68" t="str">
        <f>'Knock-Out Predictions'!$N$4</f>
        <v>3 Lions on the Jersey</v>
      </c>
      <c r="C68" t="s">
        <v>281</v>
      </c>
      <c r="D68" t="s">
        <v>124</v>
      </c>
      <c r="E68" t="s">
        <v>348</v>
      </c>
      <c r="F68" t="str">
        <f>'Knock-Out Predictions'!D97</f>
        <v>England (ENG)</v>
      </c>
      <c r="G68">
        <f>'Knock-Out Predictions'!E97</f>
        <v>1</v>
      </c>
      <c r="H68" t="str">
        <f>'Knock-Out Predictions'!F97</f>
        <v>Croatia (CRO)</v>
      </c>
      <c r="I68">
        <f>'Knock-Out Predictions'!G97</f>
        <v>0</v>
      </c>
    </row>
    <row r="69" spans="1:10">
      <c r="A69" t="str">
        <f>'Knock-Out Predictions'!$N$3</f>
        <v>Edward Sherrington</v>
      </c>
      <c r="B69" t="str">
        <f>'Knock-Out Predictions'!$N$4</f>
        <v>3 Lions on the Jersey</v>
      </c>
      <c r="C69" t="s">
        <v>281</v>
      </c>
      <c r="D69" t="s">
        <v>124</v>
      </c>
      <c r="E69" t="s">
        <v>349</v>
      </c>
      <c r="F69" t="str">
        <f>'Knock-Out Predictions'!D98</f>
        <v>Ghana (GHA)</v>
      </c>
      <c r="G69">
        <f>'Knock-Out Predictions'!E98</f>
        <v>1</v>
      </c>
      <c r="H69" t="str">
        <f>'Knock-Out Predictions'!F98</f>
        <v>Panama (PAN)</v>
      </c>
      <c r="I69">
        <f>'Knock-Out Predictions'!G98</f>
        <v>0</v>
      </c>
    </row>
    <row r="70" spans="1:10">
      <c r="A70" t="str">
        <f>'Knock-Out Predictions'!$N$3</f>
        <v>Edward Sherrington</v>
      </c>
      <c r="B70" t="str">
        <f>'Knock-Out Predictions'!$N$4</f>
        <v>3 Lions on the Jersey</v>
      </c>
      <c r="C70" t="s">
        <v>281</v>
      </c>
      <c r="D70" t="s">
        <v>124</v>
      </c>
      <c r="E70" t="s">
        <v>350</v>
      </c>
      <c r="F70" t="str">
        <f>'Knock-Out Predictions'!D99</f>
        <v>England (ENG)</v>
      </c>
      <c r="G70">
        <f>'Knock-Out Predictions'!E99</f>
        <v>2</v>
      </c>
      <c r="H70" t="str">
        <f>'Knock-Out Predictions'!F99</f>
        <v>Ghana (GHA)</v>
      </c>
      <c r="I70">
        <f>'Knock-Out Predictions'!G99</f>
        <v>0</v>
      </c>
    </row>
    <row r="71" spans="1:10">
      <c r="A71" t="str">
        <f>'Knock-Out Predictions'!$N$3</f>
        <v>Edward Sherrington</v>
      </c>
      <c r="B71" t="str">
        <f>'Knock-Out Predictions'!$N$4</f>
        <v>3 Lions on the Jersey</v>
      </c>
      <c r="C71" t="s">
        <v>281</v>
      </c>
      <c r="D71" t="s">
        <v>124</v>
      </c>
      <c r="E71" t="s">
        <v>351</v>
      </c>
      <c r="F71" t="str">
        <f>'Knock-Out Predictions'!D100</f>
        <v>Panama (PAN)</v>
      </c>
      <c r="G71">
        <f>'Knock-Out Predictions'!E100</f>
        <v>0</v>
      </c>
      <c r="H71" t="str">
        <f>'Knock-Out Predictions'!F100</f>
        <v>Croatia (CRO)</v>
      </c>
      <c r="I71">
        <f>'Knock-Out Predictions'!G100</f>
        <v>2</v>
      </c>
    </row>
    <row r="72" spans="1:10">
      <c r="A72" t="str">
        <f>'Knock-Out Predictions'!$N$3</f>
        <v>Edward Sherrington</v>
      </c>
      <c r="B72" t="str">
        <f>'Knock-Out Predictions'!$N$4</f>
        <v>3 Lions on the Jersey</v>
      </c>
      <c r="C72" t="s">
        <v>281</v>
      </c>
      <c r="D72" t="s">
        <v>124</v>
      </c>
      <c r="E72" t="s">
        <v>352</v>
      </c>
      <c r="F72" t="str">
        <f>'Knock-Out Predictions'!D101</f>
        <v>Panama (PAN)</v>
      </c>
      <c r="G72">
        <f>'Knock-Out Predictions'!E101</f>
        <v>0</v>
      </c>
      <c r="H72" t="str">
        <f>'Knock-Out Predictions'!F101</f>
        <v>England (ENG)</v>
      </c>
      <c r="I72">
        <f>'Knock-Out Predictions'!G101</f>
        <v>4</v>
      </c>
    </row>
    <row r="73" spans="1:10">
      <c r="A73" t="str">
        <f>'Knock-Out Predictions'!$N$3</f>
        <v>Edward Sherrington</v>
      </c>
      <c r="B73" t="str">
        <f>'Knock-Out Predictions'!$N$4</f>
        <v>3 Lions on the Jersey</v>
      </c>
      <c r="C73" t="s">
        <v>281</v>
      </c>
      <c r="D73" t="s">
        <v>124</v>
      </c>
      <c r="E73" t="s">
        <v>353</v>
      </c>
      <c r="F73" t="str">
        <f>'Knock-Out Predictions'!D102</f>
        <v>Croatia (CRO)</v>
      </c>
      <c r="G73">
        <f>'Knock-Out Predictions'!E102</f>
        <v>1</v>
      </c>
      <c r="H73" t="str">
        <f>'Knock-Out Predictions'!F102</f>
        <v>Ghana (GHA)</v>
      </c>
      <c r="I73">
        <f>'Knock-Out Predictions'!G102</f>
        <v>0</v>
      </c>
    </row>
    <row r="74" spans="1:10">
      <c r="A74" t="str">
        <f>'Knock-Out Predictions'!$N$3</f>
        <v>Edward Sherrington</v>
      </c>
      <c r="B74" t="str">
        <f>'Knock-Out Predictions'!$N$4</f>
        <v>3 Lions on the Jersey</v>
      </c>
      <c r="C74" t="s">
        <v>354</v>
      </c>
      <c r="E74" t="s">
        <v>371</v>
      </c>
      <c r="J74" t="str">
        <f>'Knock-Out Predictions'!J9</f>
        <v>KOR</v>
      </c>
    </row>
    <row r="75" spans="1:10">
      <c r="A75" t="str">
        <f>'Knock-Out Predictions'!$N$3</f>
        <v>Edward Sherrington</v>
      </c>
      <c r="B75" t="str">
        <f>'Knock-Out Predictions'!$N$4</f>
        <v>3 Lions on the Jersey</v>
      </c>
      <c r="C75" t="s">
        <v>354</v>
      </c>
      <c r="E75" t="s">
        <v>372</v>
      </c>
      <c r="J75" t="str">
        <f>'Knock-Out Predictions'!J13</f>
        <v>CAN</v>
      </c>
    </row>
    <row r="76" spans="1:10">
      <c r="A76" t="str">
        <f>'Knock-Out Predictions'!$N$3</f>
        <v>Edward Sherrington</v>
      </c>
      <c r="B76" t="str">
        <f>'Knock-Out Predictions'!$N$4</f>
        <v>3 Lions on the Jersey</v>
      </c>
      <c r="C76" t="s">
        <v>354</v>
      </c>
      <c r="E76" t="s">
        <v>373</v>
      </c>
      <c r="J76" t="str">
        <f>'Knock-Out Predictions'!J16</f>
        <v>NED</v>
      </c>
    </row>
    <row r="77" spans="1:10">
      <c r="A77" t="str">
        <f>'Knock-Out Predictions'!$N$3</f>
        <v>Edward Sherrington</v>
      </c>
      <c r="B77" t="str">
        <f>'Knock-Out Predictions'!$N$4</f>
        <v>3 Lions on the Jersey</v>
      </c>
      <c r="C77" t="s">
        <v>354</v>
      </c>
      <c r="E77" t="s">
        <v>374</v>
      </c>
      <c r="J77" t="str">
        <f>'Knock-Out Predictions'!J20</f>
        <v>MAR</v>
      </c>
    </row>
    <row r="78" spans="1:10">
      <c r="A78" t="str">
        <f>'Knock-Out Predictions'!$N$3</f>
        <v>Edward Sherrington</v>
      </c>
      <c r="B78" t="str">
        <f>'Knock-Out Predictions'!$N$4</f>
        <v>3 Lions on the Jersey</v>
      </c>
      <c r="C78" t="s">
        <v>354</v>
      </c>
      <c r="E78" t="s">
        <v>375</v>
      </c>
      <c r="J78" t="str">
        <f>'Knock-Out Predictions'!J23</f>
        <v>GER</v>
      </c>
    </row>
    <row r="79" spans="1:10">
      <c r="A79" t="str">
        <f>'Knock-Out Predictions'!$N$3</f>
        <v>Edward Sherrington</v>
      </c>
      <c r="B79" t="str">
        <f>'Knock-Out Predictions'!$N$4</f>
        <v>3 Lions on the Jersey</v>
      </c>
      <c r="C79" t="s">
        <v>354</v>
      </c>
      <c r="E79" t="s">
        <v>376</v>
      </c>
      <c r="J79" t="str">
        <f>'Knock-Out Predictions'!J27</f>
        <v>SCO</v>
      </c>
    </row>
    <row r="80" spans="1:10">
      <c r="A80" t="str">
        <f>'Knock-Out Predictions'!$N$3</f>
        <v>Edward Sherrington</v>
      </c>
      <c r="B80" t="str">
        <f>'Knock-Out Predictions'!$N$4</f>
        <v>3 Lions on the Jersey</v>
      </c>
      <c r="C80" t="s">
        <v>354</v>
      </c>
      <c r="E80" t="s">
        <v>377</v>
      </c>
      <c r="J80" t="str">
        <f>'Knock-Out Predictions'!J30</f>
        <v>FRA</v>
      </c>
    </row>
    <row r="81" spans="1:10">
      <c r="A81" t="str">
        <f>'Knock-Out Predictions'!$N$3</f>
        <v>Edward Sherrington</v>
      </c>
      <c r="B81" t="str">
        <f>'Knock-Out Predictions'!$N$4</f>
        <v>3 Lions on the Jersey</v>
      </c>
      <c r="C81" t="s">
        <v>354</v>
      </c>
      <c r="E81" t="s">
        <v>378</v>
      </c>
      <c r="J81" t="str">
        <f>'Knock-Out Predictions'!J34</f>
        <v>SWE</v>
      </c>
    </row>
    <row r="82" spans="1:10">
      <c r="A82" t="str">
        <f>'Knock-Out Predictions'!$N$3</f>
        <v>Edward Sherrington</v>
      </c>
      <c r="B82" t="str">
        <f>'Knock-Out Predictions'!$N$4</f>
        <v>3 Lions on the Jersey</v>
      </c>
      <c r="C82" t="s">
        <v>354</v>
      </c>
      <c r="E82" t="s">
        <v>379</v>
      </c>
      <c r="J82" t="str">
        <f>'Knock-Out Predictions'!J37</f>
        <v>USA</v>
      </c>
    </row>
    <row r="83" spans="1:10">
      <c r="A83" t="str">
        <f>'Knock-Out Predictions'!$N$3</f>
        <v>Edward Sherrington</v>
      </c>
      <c r="B83" t="str">
        <f>'Knock-Out Predictions'!$N$4</f>
        <v>3 Lions on the Jersey</v>
      </c>
      <c r="C83" t="s">
        <v>354</v>
      </c>
      <c r="E83" t="s">
        <v>380</v>
      </c>
      <c r="J83" t="str">
        <f>'Knock-Out Predictions'!J41</f>
        <v>BIH</v>
      </c>
    </row>
    <row r="84" spans="1:10">
      <c r="A84" t="str">
        <f>'Knock-Out Predictions'!$N$3</f>
        <v>Edward Sherrington</v>
      </c>
      <c r="B84" t="str">
        <f>'Knock-Out Predictions'!$N$4</f>
        <v>3 Lions on the Jersey</v>
      </c>
      <c r="C84" t="s">
        <v>354</v>
      </c>
      <c r="E84" t="s">
        <v>381</v>
      </c>
      <c r="J84" t="str">
        <f>'Knock-Out Predictions'!J44</f>
        <v>BEL</v>
      </c>
    </row>
    <row r="85" spans="1:10">
      <c r="A85" t="str">
        <f>'Knock-Out Predictions'!$N$3</f>
        <v>Edward Sherrington</v>
      </c>
      <c r="B85" t="str">
        <f>'Knock-Out Predictions'!$N$4</f>
        <v>3 Lions on the Jersey</v>
      </c>
      <c r="C85" t="s">
        <v>354</v>
      </c>
      <c r="E85" t="s">
        <v>382</v>
      </c>
      <c r="J85" t="str">
        <f>'Knock-Out Predictions'!J48</f>
        <v>SEN</v>
      </c>
    </row>
    <row r="86" spans="1:10">
      <c r="A86" t="str">
        <f>'Knock-Out Predictions'!$N$3</f>
        <v>Edward Sherrington</v>
      </c>
      <c r="B86" t="str">
        <f>'Knock-Out Predictions'!$N$4</f>
        <v>3 Lions on the Jersey</v>
      </c>
      <c r="C86" t="s">
        <v>354</v>
      </c>
      <c r="E86" t="s">
        <v>383</v>
      </c>
      <c r="J86" t="str">
        <f>'Knock-Out Predictions'!J51</f>
        <v>ESP</v>
      </c>
    </row>
    <row r="87" spans="1:10">
      <c r="A87" t="str">
        <f>'Knock-Out Predictions'!$N$3</f>
        <v>Edward Sherrington</v>
      </c>
      <c r="B87" t="str">
        <f>'Knock-Out Predictions'!$N$4</f>
        <v>3 Lions on the Jersey</v>
      </c>
      <c r="C87" t="s">
        <v>354</v>
      </c>
      <c r="E87" t="s">
        <v>384</v>
      </c>
      <c r="J87" t="str">
        <f>'Knock-Out Predictions'!J55</f>
        <v>AUT</v>
      </c>
    </row>
    <row r="88" spans="1:10">
      <c r="A88" t="str">
        <f>'Knock-Out Predictions'!$N$3</f>
        <v>Edward Sherrington</v>
      </c>
      <c r="B88" t="str">
        <f>'Knock-Out Predictions'!$N$4</f>
        <v>3 Lions on the Jersey</v>
      </c>
      <c r="C88" t="s">
        <v>354</v>
      </c>
      <c r="E88" t="s">
        <v>385</v>
      </c>
      <c r="J88" t="str">
        <f>'Knock-Out Predictions'!J58</f>
        <v>COL</v>
      </c>
    </row>
    <row r="89" spans="1:10">
      <c r="A89" t="str">
        <f>'Knock-Out Predictions'!$N$3</f>
        <v>Edward Sherrington</v>
      </c>
      <c r="B89" t="str">
        <f>'Knock-Out Predictions'!$N$4</f>
        <v>3 Lions on the Jersey</v>
      </c>
      <c r="C89" t="s">
        <v>354</v>
      </c>
      <c r="E89" t="s">
        <v>386</v>
      </c>
      <c r="J89" t="str">
        <f>'Knock-Out Predictions'!J62</f>
        <v>CRO</v>
      </c>
    </row>
    <row r="90" spans="1:10">
      <c r="A90" t="str">
        <f>'Knock-Out Predictions'!$N$3</f>
        <v>Edward Sherrington</v>
      </c>
      <c r="B90" t="str">
        <f>'Knock-Out Predictions'!$N$4</f>
        <v>3 Lions on the Jersey</v>
      </c>
      <c r="C90" t="s">
        <v>354</v>
      </c>
      <c r="E90" t="s">
        <v>387</v>
      </c>
      <c r="J90" t="str">
        <f>'Knock-Out Predictions'!J65</f>
        <v>BRA</v>
      </c>
    </row>
    <row r="91" spans="1:10">
      <c r="A91" t="str">
        <f>'Knock-Out Predictions'!$N$3</f>
        <v>Edward Sherrington</v>
      </c>
      <c r="B91" t="str">
        <f>'Knock-Out Predictions'!$N$4</f>
        <v>3 Lions on the Jersey</v>
      </c>
      <c r="C91" t="s">
        <v>354</v>
      </c>
      <c r="E91" t="s">
        <v>388</v>
      </c>
      <c r="J91" t="str">
        <f>'Knock-Out Predictions'!J69</f>
        <v>JPN</v>
      </c>
    </row>
    <row r="92" spans="1:10">
      <c r="A92" t="str">
        <f>'Knock-Out Predictions'!$N$3</f>
        <v>Edward Sherrington</v>
      </c>
      <c r="B92" t="str">
        <f>'Knock-Out Predictions'!$N$4</f>
        <v>3 Lions on the Jersey</v>
      </c>
      <c r="C92" t="s">
        <v>354</v>
      </c>
      <c r="E92" t="s">
        <v>389</v>
      </c>
      <c r="J92" t="str">
        <f>'Knock-Out Predictions'!J72</f>
        <v>ECU</v>
      </c>
    </row>
    <row r="93" spans="1:10">
      <c r="A93" t="str">
        <f>'Knock-Out Predictions'!$N$3</f>
        <v>Edward Sherrington</v>
      </c>
      <c r="B93" t="str">
        <f>'Knock-Out Predictions'!$N$4</f>
        <v>3 Lions on the Jersey</v>
      </c>
      <c r="C93" t="s">
        <v>354</v>
      </c>
      <c r="E93" t="s">
        <v>390</v>
      </c>
      <c r="J93" t="str">
        <f>'Knock-Out Predictions'!J76</f>
        <v>NOR</v>
      </c>
    </row>
    <row r="94" spans="1:10">
      <c r="A94" t="str">
        <f>'Knock-Out Predictions'!$N$3</f>
        <v>Edward Sherrington</v>
      </c>
      <c r="B94" t="str">
        <f>'Knock-Out Predictions'!$N$4</f>
        <v>3 Lions on the Jersey</v>
      </c>
      <c r="C94" t="s">
        <v>354</v>
      </c>
      <c r="E94" t="s">
        <v>391</v>
      </c>
      <c r="J94" t="str">
        <f>'Knock-Out Predictions'!J79</f>
        <v>MEX</v>
      </c>
    </row>
    <row r="95" spans="1:10">
      <c r="A95" t="str">
        <f>'Knock-Out Predictions'!$N$3</f>
        <v>Edward Sherrington</v>
      </c>
      <c r="B95" t="str">
        <f>'Knock-Out Predictions'!$N$4</f>
        <v>3 Lions on the Jersey</v>
      </c>
      <c r="C95" t="s">
        <v>354</v>
      </c>
      <c r="E95" t="s">
        <v>392</v>
      </c>
      <c r="J95" t="str">
        <f>'Knock-Out Predictions'!J83</f>
        <v>CIV</v>
      </c>
    </row>
    <row r="96" spans="1:10">
      <c r="A96" t="str">
        <f>'Knock-Out Predictions'!$N$3</f>
        <v>Edward Sherrington</v>
      </c>
      <c r="B96" t="str">
        <f>'Knock-Out Predictions'!$N$4</f>
        <v>3 Lions on the Jersey</v>
      </c>
      <c r="C96" t="s">
        <v>354</v>
      </c>
      <c r="E96" t="s">
        <v>393</v>
      </c>
      <c r="J96" t="str">
        <f>'Knock-Out Predictions'!J86</f>
        <v>ENG</v>
      </c>
    </row>
    <row r="97" spans="1:10">
      <c r="A97" t="str">
        <f>'Knock-Out Predictions'!$N$3</f>
        <v>Edward Sherrington</v>
      </c>
      <c r="B97" t="str">
        <f>'Knock-Out Predictions'!$N$4</f>
        <v>3 Lions on the Jersey</v>
      </c>
      <c r="C97" t="s">
        <v>354</v>
      </c>
      <c r="E97" t="s">
        <v>394</v>
      </c>
      <c r="J97" t="str">
        <f>'Knock-Out Predictions'!J90</f>
        <v>UZB</v>
      </c>
    </row>
    <row r="98" spans="1:10">
      <c r="A98" t="str">
        <f>'Knock-Out Predictions'!$N$3</f>
        <v>Edward Sherrington</v>
      </c>
      <c r="B98" t="str">
        <f>'Knock-Out Predictions'!$N$4</f>
        <v>3 Lions on the Jersey</v>
      </c>
      <c r="C98" t="s">
        <v>354</v>
      </c>
      <c r="E98" t="s">
        <v>395</v>
      </c>
      <c r="J98" t="str">
        <f>'Knock-Out Predictions'!J93</f>
        <v>POR</v>
      </c>
    </row>
    <row r="99" spans="1:10">
      <c r="A99" t="str">
        <f>'Knock-Out Predictions'!$N$3</f>
        <v>Edward Sherrington</v>
      </c>
      <c r="B99" t="str">
        <f>'Knock-Out Predictions'!$N$4</f>
        <v>3 Lions on the Jersey</v>
      </c>
      <c r="C99" t="s">
        <v>354</v>
      </c>
      <c r="E99" t="s">
        <v>396</v>
      </c>
      <c r="J99" t="str">
        <f>'Knock-Out Predictions'!J97</f>
        <v>GHA</v>
      </c>
    </row>
    <row r="100" spans="1:10">
      <c r="A100" t="str">
        <f>'Knock-Out Predictions'!$N$3</f>
        <v>Edward Sherrington</v>
      </c>
      <c r="B100" t="str">
        <f>'Knock-Out Predictions'!$N$4</f>
        <v>3 Lions on the Jersey</v>
      </c>
      <c r="C100" t="s">
        <v>354</v>
      </c>
      <c r="E100" t="s">
        <v>397</v>
      </c>
      <c r="J100" t="str">
        <f>'Knock-Out Predictions'!J100</f>
        <v>SUI</v>
      </c>
    </row>
    <row r="101" spans="1:10">
      <c r="A101" t="str">
        <f>'Knock-Out Predictions'!$N$3</f>
        <v>Edward Sherrington</v>
      </c>
      <c r="B101" t="str">
        <f>'Knock-Out Predictions'!$N$4</f>
        <v>3 Lions on the Jersey</v>
      </c>
      <c r="C101" t="s">
        <v>354</v>
      </c>
      <c r="E101" t="s">
        <v>398</v>
      </c>
      <c r="J101" t="str">
        <f>'Knock-Out Predictions'!J104</f>
        <v>ALG</v>
      </c>
    </row>
    <row r="102" spans="1:10">
      <c r="A102" t="str">
        <f>'Knock-Out Predictions'!$N$3</f>
        <v>Edward Sherrington</v>
      </c>
      <c r="B102" t="str">
        <f>'Knock-Out Predictions'!$N$4</f>
        <v>3 Lions on the Jersey</v>
      </c>
      <c r="C102" t="s">
        <v>354</v>
      </c>
      <c r="E102" t="s">
        <v>399</v>
      </c>
      <c r="J102" t="str">
        <f>'Knock-Out Predictions'!J107</f>
        <v>ARG</v>
      </c>
    </row>
    <row r="103" spans="1:10">
      <c r="A103" t="str">
        <f>'Knock-Out Predictions'!$N$3</f>
        <v>Edward Sherrington</v>
      </c>
      <c r="B103" t="str">
        <f>'Knock-Out Predictions'!$N$4</f>
        <v>3 Lions on the Jersey</v>
      </c>
      <c r="C103" t="s">
        <v>354</v>
      </c>
      <c r="E103" t="s">
        <v>400</v>
      </c>
      <c r="J103" t="str">
        <f>'Knock-Out Predictions'!J111</f>
        <v>URU</v>
      </c>
    </row>
    <row r="104" spans="1:10">
      <c r="A104" t="str">
        <f>'Knock-Out Predictions'!$N$3</f>
        <v>Edward Sherrington</v>
      </c>
      <c r="B104" t="str">
        <f>'Knock-Out Predictions'!$N$4</f>
        <v>3 Lions on the Jersey</v>
      </c>
      <c r="C104" t="s">
        <v>354</v>
      </c>
      <c r="E104" t="s">
        <v>401</v>
      </c>
      <c r="J104" t="str">
        <f>'Knock-Out Predictions'!J114</f>
        <v>TUR</v>
      </c>
    </row>
    <row r="105" spans="1:10">
      <c r="A105" t="str">
        <f>'Knock-Out Predictions'!$N$3</f>
        <v>Edward Sherrington</v>
      </c>
      <c r="B105" t="str">
        <f>'Knock-Out Predictions'!$N$4</f>
        <v>3 Lions on the Jersey</v>
      </c>
      <c r="C105" t="s">
        <v>354</v>
      </c>
      <c r="E105" t="s">
        <v>402</v>
      </c>
      <c r="J105" t="str">
        <f>'Knock-Out Predictions'!J118</f>
        <v>EGY</v>
      </c>
    </row>
    <row r="106" spans="1:10">
      <c r="A106" t="str">
        <f>'Knock-Out Predictions'!$N$3</f>
        <v>Edward Sherrington</v>
      </c>
      <c r="B106" t="str">
        <f>'Knock-Out Predictions'!$N$4</f>
        <v>3 Lions on the Jersey</v>
      </c>
      <c r="C106" t="s">
        <v>156</v>
      </c>
      <c r="E106" t="s">
        <v>403</v>
      </c>
      <c r="J106" t="str">
        <f>'Knock-Out Predictions'!L11</f>
        <v>CAN</v>
      </c>
    </row>
    <row r="107" spans="1:10">
      <c r="A107" t="str">
        <f>'Knock-Out Predictions'!$N$3</f>
        <v>Edward Sherrington</v>
      </c>
      <c r="B107" t="str">
        <f>'Knock-Out Predictions'!$N$4</f>
        <v>3 Lions on the Jersey</v>
      </c>
      <c r="C107" t="s">
        <v>156</v>
      </c>
      <c r="E107" t="s">
        <v>404</v>
      </c>
      <c r="J107" t="str">
        <f>'Knock-Out Predictions'!L18</f>
        <v>NED</v>
      </c>
    </row>
    <row r="108" spans="1:10">
      <c r="A108" t="str">
        <f>'Knock-Out Predictions'!$N$3</f>
        <v>Edward Sherrington</v>
      </c>
      <c r="B108" t="str">
        <f>'Knock-Out Predictions'!$N$4</f>
        <v>3 Lions on the Jersey</v>
      </c>
      <c r="C108" t="s">
        <v>156</v>
      </c>
      <c r="E108" t="s">
        <v>405</v>
      </c>
      <c r="J108" t="str">
        <f>'Knock-Out Predictions'!L25</f>
        <v>GER</v>
      </c>
    </row>
    <row r="109" spans="1:10">
      <c r="A109" t="str">
        <f>'Knock-Out Predictions'!$N$3</f>
        <v>Edward Sherrington</v>
      </c>
      <c r="B109" t="str">
        <f>'Knock-Out Predictions'!$N$4</f>
        <v>3 Lions on the Jersey</v>
      </c>
      <c r="C109" t="s">
        <v>156</v>
      </c>
      <c r="E109" t="s">
        <v>406</v>
      </c>
      <c r="J109" t="str">
        <f>'Knock-Out Predictions'!L32</f>
        <v>FRA</v>
      </c>
    </row>
    <row r="110" spans="1:10">
      <c r="A110" t="str">
        <f>'Knock-Out Predictions'!$N$3</f>
        <v>Edward Sherrington</v>
      </c>
      <c r="B110" t="str">
        <f>'Knock-Out Predictions'!$N$4</f>
        <v>3 Lions on the Jersey</v>
      </c>
      <c r="C110" t="s">
        <v>156</v>
      </c>
      <c r="E110" t="s">
        <v>407</v>
      </c>
      <c r="J110" t="str">
        <f>'Knock-Out Predictions'!L39</f>
        <v>USA</v>
      </c>
    </row>
    <row r="111" spans="1:10">
      <c r="A111" t="str">
        <f>'Knock-Out Predictions'!$N$3</f>
        <v>Edward Sherrington</v>
      </c>
      <c r="B111" t="str">
        <f>'Knock-Out Predictions'!$N$4</f>
        <v>3 Lions on the Jersey</v>
      </c>
      <c r="C111" t="s">
        <v>156</v>
      </c>
      <c r="E111" t="s">
        <v>408</v>
      </c>
      <c r="J111" t="str">
        <f>'Knock-Out Predictions'!L46</f>
        <v>BEL</v>
      </c>
    </row>
    <row r="112" spans="1:10">
      <c r="A112" t="str">
        <f>'Knock-Out Predictions'!$N$3</f>
        <v>Edward Sherrington</v>
      </c>
      <c r="B112" t="str">
        <f>'Knock-Out Predictions'!$N$4</f>
        <v>3 Lions on the Jersey</v>
      </c>
      <c r="C112" t="s">
        <v>156</v>
      </c>
      <c r="E112" t="s">
        <v>409</v>
      </c>
      <c r="J112" t="str">
        <f>'Knock-Out Predictions'!L53</f>
        <v>ESP</v>
      </c>
    </row>
    <row r="113" spans="1:10">
      <c r="A113" t="str">
        <f>'Knock-Out Predictions'!$N$3</f>
        <v>Edward Sherrington</v>
      </c>
      <c r="B113" t="str">
        <f>'Knock-Out Predictions'!$N$4</f>
        <v>3 Lions on the Jersey</v>
      </c>
      <c r="C113" t="s">
        <v>156</v>
      </c>
      <c r="E113" t="s">
        <v>410</v>
      </c>
      <c r="J113" t="str">
        <f>'Knock-Out Predictions'!L60</f>
        <v>CRO</v>
      </c>
    </row>
    <row r="114" spans="1:10">
      <c r="A114" t="str">
        <f>'Knock-Out Predictions'!$N$3</f>
        <v>Edward Sherrington</v>
      </c>
      <c r="B114" t="str">
        <f>'Knock-Out Predictions'!$N$4</f>
        <v>3 Lions on the Jersey</v>
      </c>
      <c r="C114" t="s">
        <v>156</v>
      </c>
      <c r="E114" t="s">
        <v>411</v>
      </c>
      <c r="J114" t="str">
        <f>'Knock-Out Predictions'!L67</f>
        <v>BRA</v>
      </c>
    </row>
    <row r="115" spans="1:10">
      <c r="A115" t="str">
        <f>'Knock-Out Predictions'!$N$3</f>
        <v>Edward Sherrington</v>
      </c>
      <c r="B115" t="str">
        <f>'Knock-Out Predictions'!$N$4</f>
        <v>3 Lions on the Jersey</v>
      </c>
      <c r="C115" t="s">
        <v>156</v>
      </c>
      <c r="E115" t="s">
        <v>412</v>
      </c>
      <c r="J115" t="str">
        <f>'Knock-Out Predictions'!L74</f>
        <v>ECU</v>
      </c>
    </row>
    <row r="116" spans="1:10">
      <c r="A116" t="str">
        <f>'Knock-Out Predictions'!$N$3</f>
        <v>Edward Sherrington</v>
      </c>
      <c r="B116" t="str">
        <f>'Knock-Out Predictions'!$N$4</f>
        <v>3 Lions on the Jersey</v>
      </c>
      <c r="C116" t="s">
        <v>156</v>
      </c>
      <c r="E116" t="s">
        <v>413</v>
      </c>
      <c r="J116" t="str">
        <f>'Knock-Out Predictions'!L81</f>
        <v>MEX</v>
      </c>
    </row>
    <row r="117" spans="1:10">
      <c r="A117" t="str">
        <f>'Knock-Out Predictions'!$N$3</f>
        <v>Edward Sherrington</v>
      </c>
      <c r="B117" t="str">
        <f>'Knock-Out Predictions'!$N$4</f>
        <v>3 Lions on the Jersey</v>
      </c>
      <c r="C117" t="s">
        <v>156</v>
      </c>
      <c r="E117" t="s">
        <v>414</v>
      </c>
      <c r="J117" t="str">
        <f>'Knock-Out Predictions'!L88</f>
        <v>ENG</v>
      </c>
    </row>
    <row r="118" spans="1:10">
      <c r="A118" t="str">
        <f>'Knock-Out Predictions'!$N$3</f>
        <v>Edward Sherrington</v>
      </c>
      <c r="B118" t="str">
        <f>'Knock-Out Predictions'!$N$4</f>
        <v>3 Lions on the Jersey</v>
      </c>
      <c r="C118" t="s">
        <v>156</v>
      </c>
      <c r="E118" t="s">
        <v>415</v>
      </c>
      <c r="J118" t="str">
        <f>'Knock-Out Predictions'!L95</f>
        <v>POR</v>
      </c>
    </row>
    <row r="119" spans="1:10">
      <c r="A119" t="str">
        <f>'Knock-Out Predictions'!$N$3</f>
        <v>Edward Sherrington</v>
      </c>
      <c r="B119" t="str">
        <f>'Knock-Out Predictions'!$N$4</f>
        <v>3 Lions on the Jersey</v>
      </c>
      <c r="C119" t="s">
        <v>156</v>
      </c>
      <c r="E119" t="s">
        <v>416</v>
      </c>
      <c r="J119" t="str">
        <f>'Knock-Out Predictions'!L102</f>
        <v>SUI</v>
      </c>
    </row>
    <row r="120" spans="1:10">
      <c r="A120" t="str">
        <f>'Knock-Out Predictions'!$N$3</f>
        <v>Edward Sherrington</v>
      </c>
      <c r="B120" t="str">
        <f>'Knock-Out Predictions'!$N$4</f>
        <v>3 Lions on the Jersey</v>
      </c>
      <c r="C120" t="s">
        <v>156</v>
      </c>
      <c r="E120" t="s">
        <v>417</v>
      </c>
      <c r="J120" t="str">
        <f>'Knock-Out Predictions'!L109</f>
        <v>ARG</v>
      </c>
    </row>
    <row r="121" spans="1:10">
      <c r="A121" t="str">
        <f>'Knock-Out Predictions'!$N$3</f>
        <v>Edward Sherrington</v>
      </c>
      <c r="B121" t="str">
        <f>'Knock-Out Predictions'!$N$4</f>
        <v>3 Lions on the Jersey</v>
      </c>
      <c r="C121" t="s">
        <v>156</v>
      </c>
      <c r="E121" t="s">
        <v>418</v>
      </c>
      <c r="J121" t="str">
        <f>'Knock-Out Predictions'!L116</f>
        <v>TUR</v>
      </c>
    </row>
    <row r="122" spans="1:10">
      <c r="A122" t="str">
        <f>'Knock-Out Predictions'!$N$3</f>
        <v>Edward Sherrington</v>
      </c>
      <c r="B122" t="str">
        <f>'Knock-Out Predictions'!$N$4</f>
        <v>3 Lions on the Jersey</v>
      </c>
      <c r="C122" t="s">
        <v>161</v>
      </c>
      <c r="E122" t="s">
        <v>419</v>
      </c>
      <c r="J122" t="str">
        <f>'Knock-Out Predictions'!M15</f>
        <v>NED</v>
      </c>
    </row>
    <row r="123" spans="1:10">
      <c r="A123" t="str">
        <f>'Knock-Out Predictions'!$N$3</f>
        <v>Edward Sherrington</v>
      </c>
      <c r="B123" t="str">
        <f>'Knock-Out Predictions'!$N$4</f>
        <v>3 Lions on the Jersey</v>
      </c>
      <c r="C123" t="s">
        <v>161</v>
      </c>
      <c r="E123" t="s">
        <v>420</v>
      </c>
      <c r="J123" t="str">
        <f>'Knock-Out Predictions'!M30</f>
        <v>FRA</v>
      </c>
    </row>
    <row r="124" spans="1:10">
      <c r="A124" t="str">
        <f>'Knock-Out Predictions'!$N$3</f>
        <v>Edward Sherrington</v>
      </c>
      <c r="B124" t="str">
        <f>'Knock-Out Predictions'!$N$4</f>
        <v>3 Lions on the Jersey</v>
      </c>
      <c r="C124" t="s">
        <v>161</v>
      </c>
      <c r="E124" t="s">
        <v>421</v>
      </c>
      <c r="J124" t="str">
        <f>'Knock-Out Predictions'!M43</f>
        <v>USA</v>
      </c>
    </row>
    <row r="125" spans="1:10">
      <c r="A125" t="str">
        <f>'Knock-Out Predictions'!$N$3</f>
        <v>Edward Sherrington</v>
      </c>
      <c r="B125" t="str">
        <f>'Knock-Out Predictions'!$N$4</f>
        <v>3 Lions on the Jersey</v>
      </c>
      <c r="C125" t="s">
        <v>161</v>
      </c>
      <c r="E125" t="s">
        <v>422</v>
      </c>
      <c r="J125" t="str">
        <f>'Knock-Out Predictions'!M57</f>
        <v>ESP</v>
      </c>
    </row>
    <row r="126" spans="1:10">
      <c r="A126" t="str">
        <f>'Knock-Out Predictions'!$N$3</f>
        <v>Edward Sherrington</v>
      </c>
      <c r="B126" t="str">
        <f>'Knock-Out Predictions'!$N$4</f>
        <v>3 Lions on the Jersey</v>
      </c>
      <c r="C126" t="s">
        <v>161</v>
      </c>
      <c r="E126" t="s">
        <v>423</v>
      </c>
      <c r="J126" t="str">
        <f>'Knock-Out Predictions'!M71</f>
        <v>BRA</v>
      </c>
    </row>
    <row r="127" spans="1:10">
      <c r="A127" t="str">
        <f>'Knock-Out Predictions'!$N$3</f>
        <v>Edward Sherrington</v>
      </c>
      <c r="B127" t="str">
        <f>'Knock-Out Predictions'!$N$4</f>
        <v>3 Lions on the Jersey</v>
      </c>
      <c r="C127" t="s">
        <v>161</v>
      </c>
      <c r="E127" t="s">
        <v>424</v>
      </c>
      <c r="J127" t="str">
        <f>'Knock-Out Predictions'!M86</f>
        <v>ENG</v>
      </c>
    </row>
    <row r="128" spans="1:10">
      <c r="A128" t="str">
        <f>'Knock-Out Predictions'!$N$3</f>
        <v>Edward Sherrington</v>
      </c>
      <c r="B128" t="str">
        <f>'Knock-Out Predictions'!$N$4</f>
        <v>3 Lions on the Jersey</v>
      </c>
      <c r="C128" t="s">
        <v>161</v>
      </c>
      <c r="E128" t="s">
        <v>425</v>
      </c>
      <c r="J128" t="str">
        <f>'Knock-Out Predictions'!M99</f>
        <v>POR</v>
      </c>
    </row>
    <row r="129" spans="1:10">
      <c r="A129" t="str">
        <f>'Knock-Out Predictions'!$N$3</f>
        <v>Edward Sherrington</v>
      </c>
      <c r="B129" t="str">
        <f>'Knock-Out Predictions'!$N$4</f>
        <v>3 Lions on the Jersey</v>
      </c>
      <c r="C129" t="s">
        <v>161</v>
      </c>
      <c r="E129" t="s">
        <v>426</v>
      </c>
      <c r="J129" t="str">
        <f>'Knock-Out Predictions'!M113</f>
        <v>ARG</v>
      </c>
    </row>
    <row r="130" spans="1:10">
      <c r="A130" t="str">
        <f>'Knock-Out Predictions'!$N$3</f>
        <v>Edward Sherrington</v>
      </c>
      <c r="B130" t="str">
        <f>'Knock-Out Predictions'!$N$4</f>
        <v>3 Lions on the Jersey</v>
      </c>
      <c r="C130" t="s">
        <v>162</v>
      </c>
      <c r="E130" t="s">
        <v>427</v>
      </c>
      <c r="J130" t="str">
        <f>'Knock-Out Predictions'!N23</f>
        <v>FRA</v>
      </c>
    </row>
    <row r="131" spans="1:10">
      <c r="A131" t="str">
        <f>'Knock-Out Predictions'!$N$3</f>
        <v>Edward Sherrington</v>
      </c>
      <c r="B131" t="str">
        <f>'Knock-Out Predictions'!$N$4</f>
        <v>3 Lions on the Jersey</v>
      </c>
      <c r="C131" t="s">
        <v>162</v>
      </c>
      <c r="E131" t="s">
        <v>428</v>
      </c>
      <c r="J131" t="str">
        <f>'Knock-Out Predictions'!N51</f>
        <v>ESP</v>
      </c>
    </row>
    <row r="132" spans="1:10">
      <c r="A132" t="str">
        <f>'Knock-Out Predictions'!$N$3</f>
        <v>Edward Sherrington</v>
      </c>
      <c r="B132" t="str">
        <f>'Knock-Out Predictions'!$N$4</f>
        <v>3 Lions on the Jersey</v>
      </c>
      <c r="C132" t="s">
        <v>162</v>
      </c>
      <c r="E132" t="s">
        <v>429</v>
      </c>
      <c r="J132" t="str">
        <f>'Knock-Out Predictions'!N79</f>
        <v>ENG</v>
      </c>
    </row>
    <row r="133" spans="1:10">
      <c r="A133" t="str">
        <f>'Knock-Out Predictions'!$N$3</f>
        <v>Edward Sherrington</v>
      </c>
      <c r="B133" t="str">
        <f>'Knock-Out Predictions'!$N$4</f>
        <v>3 Lions on the Jersey</v>
      </c>
      <c r="C133" t="s">
        <v>162</v>
      </c>
      <c r="E133" t="s">
        <v>430</v>
      </c>
      <c r="J133" t="str">
        <f>'Knock-Out Predictions'!N107</f>
        <v>ARG</v>
      </c>
    </row>
    <row r="134" spans="1:10">
      <c r="A134" t="str">
        <f>'Knock-Out Predictions'!$N$3</f>
        <v>Edward Sherrington</v>
      </c>
      <c r="B134" t="str">
        <f>'Knock-Out Predictions'!$N$4</f>
        <v>3 Lions on the Jersey</v>
      </c>
      <c r="C134" t="s">
        <v>165</v>
      </c>
      <c r="E134" t="s">
        <v>431</v>
      </c>
      <c r="J134" t="str">
        <f>'Knock-Out Predictions'!O36</f>
        <v>FRA</v>
      </c>
    </row>
    <row r="135" spans="1:10">
      <c r="A135" t="str">
        <f>'Knock-Out Predictions'!$N$3</f>
        <v>Edward Sherrington</v>
      </c>
      <c r="B135" t="str">
        <f>'Knock-Out Predictions'!$N$4</f>
        <v>3 Lions on the Jersey</v>
      </c>
      <c r="C135" t="s">
        <v>165</v>
      </c>
      <c r="E135" t="s">
        <v>432</v>
      </c>
      <c r="J135" t="str">
        <f>'Knock-Out Predictions'!O92</f>
        <v>ARG</v>
      </c>
    </row>
    <row r="136" spans="1:10">
      <c r="A136" t="str">
        <f>'Knock-Out Predictions'!$N$3</f>
        <v>Edward Sherrington</v>
      </c>
      <c r="B136" t="str">
        <f>'Knock-Out Predictions'!$N$4</f>
        <v>3 Lions on the Jersey</v>
      </c>
      <c r="C136" t="s">
        <v>170</v>
      </c>
      <c r="E136" t="s">
        <v>433</v>
      </c>
      <c r="J136" t="str">
        <f>'Knock-Out Predictions'!P63</f>
        <v>FRA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Group Stage Predictions</vt:lpstr>
      <vt:lpstr>Knock-Out Predictions</vt:lpstr>
      <vt:lpstr>For Organiser</vt:lpstr>
      <vt:lpstr>'Knock-Out Predictions'!Print_Area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Sherrington</cp:lastModifiedBy>
  <cp:lastPrinted>2026-05-03T23:21:14Z</cp:lastPrinted>
  <dcterms:created xsi:type="dcterms:W3CDTF">2022-08-03T22:06:27Z</dcterms:created>
  <dcterms:modified xsi:type="dcterms:W3CDTF">2026-06-01T19:32:10Z</dcterms:modified>
</cp:coreProperties>
</file>